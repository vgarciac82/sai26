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8EA344ED-F78C-4B8E-8A53-2CF5DB13FC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30_70 (Miles)" sheetId="12" r:id="rId1"/>
    <sheet name="30_70 (Millones)" sheetId="4" r:id="rId2"/>
    <sheet name="Contratos" sheetId="16" r:id="rId3"/>
    <sheet name="Pedidos" sheetId="17" r:id="rId4"/>
    <sheet name="PagosDirectos" sheetId="19" r:id="rId5"/>
    <sheet name="Excepciones" sheetId="8" state="hidden" r:id="rId6"/>
    <sheet name="exepciones" sheetId="13" state="hidden" r:id="rId7"/>
    <sheet name="consideraciones" sheetId="14" state="hidden" r:id="rId8"/>
  </sheets>
  <definedNames>
    <definedName name="_xlnm.Print_Area" localSheetId="0">'30_70 (Miles)'!$A$1:$K$65</definedName>
    <definedName name="_xlnm.Print_Area" localSheetId="1">'30_70 (Millones)'!$A$1:$K$65</definedName>
    <definedName name="TOTAL_B_ART1ro" localSheetId="0">#REF!</definedName>
    <definedName name="TOTAL_B_ART1ro" localSheetId="1">#REF!</definedName>
    <definedName name="TOTAL_B_ART1ro">#REF!</definedName>
    <definedName name="TOTAL_C_ART42" localSheetId="0">#REF!</definedName>
    <definedName name="TOTAL_C_ART42" localSheetId="1">#REF!</definedName>
    <definedName name="TOTAL_C_ART42">#REF!</definedName>
    <definedName name="TOTAL_D_ICTP" localSheetId="0">#REF!</definedName>
    <definedName name="TOTAL_D_ICTP" localSheetId="1">#REF!</definedName>
    <definedName name="TOTAL_D_ICTP">#REF!</definedName>
    <definedName name="TOTAL_E_PATENTE" localSheetId="0">#REF!</definedName>
    <definedName name="TOTAL_E_PATENTE" localSheetId="1">#REF!</definedName>
    <definedName name="TOTAL_E_PATENTE">#REF!</definedName>
    <definedName name="TOTAL_F_COSTOSADICIONALES" localSheetId="0">#REF!</definedName>
    <definedName name="TOTAL_F_COSTOSADICIONALES" localSheetId="1">#REF!</definedName>
    <definedName name="TOTAL_F_COSTOSADICIONALES">#REF!</definedName>
    <definedName name="TOTAL_G_MARCADETERMINADA" localSheetId="0">#REF!</definedName>
    <definedName name="TOTAL_G_MARCADETERMINADA" localSheetId="1">#REF!</definedName>
    <definedName name="TOTAL_G_MARCADETERMINADA">#REF!</definedName>
    <definedName name="TOTAL_H_OTROS" localSheetId="0">#REF!</definedName>
    <definedName name="TOTAL_H_OTROS" localSheetId="1">#REF!</definedName>
    <definedName name="TOTAL_H_OTROS">#REF!</definedName>
    <definedName name="TOTAL_I_LP" localSheetId="0">#REF!</definedName>
    <definedName name="TOTAL_I_LP" localSheetId="1">#REF!</definedName>
    <definedName name="TOTAL_I_LP">#REF!</definedName>
    <definedName name="TOTAL_PRESUPUESTO" localSheetId="0">#REF!</definedName>
    <definedName name="TOTAL_PRESUPUESTO" localSheetId="1">#REF!</definedName>
    <definedName name="TOTAL_PRESUPUES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4" l="1"/>
  <c r="B28" i="4" l="1"/>
  <c r="B29" i="4"/>
  <c r="B30" i="4"/>
  <c r="B31" i="4"/>
  <c r="B32" i="4"/>
  <c r="B33" i="4"/>
  <c r="B34" i="4"/>
  <c r="B27" i="4"/>
  <c r="A28" i="4"/>
  <c r="A29" i="4"/>
  <c r="A30" i="4"/>
  <c r="A31" i="4"/>
  <c r="A32" i="4"/>
  <c r="A33" i="4"/>
  <c r="A34" i="4"/>
  <c r="B37" i="4"/>
  <c r="B38" i="4"/>
  <c r="B39" i="4"/>
  <c r="B40" i="4"/>
  <c r="B41" i="4"/>
  <c r="B42" i="4"/>
  <c r="B43" i="4"/>
  <c r="A37" i="4"/>
  <c r="A38" i="4"/>
  <c r="A39" i="4"/>
  <c r="A40" i="4"/>
  <c r="A41" i="4"/>
  <c r="A42" i="4"/>
  <c r="A43" i="4"/>
  <c r="B36" i="4"/>
  <c r="A36" i="4"/>
  <c r="A27" i="4"/>
  <c r="C28" i="4"/>
  <c r="C29" i="4"/>
  <c r="C30" i="4"/>
  <c r="C31" i="4"/>
  <c r="C32" i="4"/>
  <c r="C33" i="4"/>
  <c r="C34" i="4"/>
  <c r="C36" i="4"/>
  <c r="C37" i="4"/>
  <c r="C38" i="4"/>
  <c r="C39" i="4"/>
  <c r="C40" i="4"/>
  <c r="C41" i="4"/>
  <c r="C42" i="4"/>
  <c r="C43" i="4"/>
  <c r="C27" i="4"/>
  <c r="K18" i="4"/>
  <c r="K19" i="4"/>
  <c r="K20" i="4"/>
  <c r="K21" i="4"/>
  <c r="K22" i="4"/>
  <c r="K23" i="4"/>
  <c r="K24" i="4"/>
  <c r="K25" i="4"/>
  <c r="K27" i="4"/>
  <c r="K28" i="4"/>
  <c r="K29" i="4"/>
  <c r="K30" i="4"/>
  <c r="K31" i="4"/>
  <c r="K32" i="4"/>
  <c r="K33" i="4"/>
  <c r="K34" i="4"/>
  <c r="K36" i="4"/>
  <c r="K37" i="4"/>
  <c r="K38" i="4"/>
  <c r="K39" i="4"/>
  <c r="K40" i="4"/>
  <c r="K41" i="4"/>
  <c r="K42" i="4"/>
  <c r="K43" i="4"/>
  <c r="J18" i="4"/>
  <c r="J19" i="4"/>
  <c r="J20" i="4"/>
  <c r="J21" i="4"/>
  <c r="J22" i="4"/>
  <c r="J23" i="4"/>
  <c r="J24" i="4"/>
  <c r="J25" i="4"/>
  <c r="J27" i="4"/>
  <c r="J28" i="4"/>
  <c r="J29" i="4"/>
  <c r="J30" i="4"/>
  <c r="J31" i="4"/>
  <c r="J32" i="4"/>
  <c r="J33" i="4"/>
  <c r="J34" i="4"/>
  <c r="J36" i="4"/>
  <c r="J37" i="4"/>
  <c r="J38" i="4"/>
  <c r="J39" i="4"/>
  <c r="J40" i="4"/>
  <c r="J41" i="4"/>
  <c r="J42" i="4"/>
  <c r="J43" i="4"/>
  <c r="I18" i="4"/>
  <c r="I19" i="4"/>
  <c r="I20" i="4"/>
  <c r="I21" i="4"/>
  <c r="I22" i="4"/>
  <c r="I23" i="4"/>
  <c r="I24" i="4"/>
  <c r="I25" i="4"/>
  <c r="I27" i="4"/>
  <c r="I28" i="4"/>
  <c r="I29" i="4"/>
  <c r="I30" i="4"/>
  <c r="I31" i="4"/>
  <c r="I32" i="4"/>
  <c r="I33" i="4"/>
  <c r="I34" i="4"/>
  <c r="I36" i="4"/>
  <c r="I37" i="4"/>
  <c r="I38" i="4"/>
  <c r="I39" i="4"/>
  <c r="I40" i="4"/>
  <c r="I41" i="4"/>
  <c r="I42" i="4"/>
  <c r="I43" i="4"/>
  <c r="H18" i="4"/>
  <c r="H19" i="4"/>
  <c r="H20" i="4"/>
  <c r="H21" i="4"/>
  <c r="H22" i="4"/>
  <c r="H23" i="4"/>
  <c r="H24" i="4"/>
  <c r="H25" i="4"/>
  <c r="H27" i="4"/>
  <c r="H28" i="4"/>
  <c r="H29" i="4"/>
  <c r="H30" i="4"/>
  <c r="H31" i="4"/>
  <c r="H32" i="4"/>
  <c r="H33" i="4"/>
  <c r="H34" i="4"/>
  <c r="H36" i="4"/>
  <c r="H37" i="4"/>
  <c r="H38" i="4"/>
  <c r="H39" i="4"/>
  <c r="H40" i="4"/>
  <c r="H41" i="4"/>
  <c r="H42" i="4"/>
  <c r="H43" i="4"/>
  <c r="G18" i="4"/>
  <c r="G19" i="4"/>
  <c r="G20" i="4"/>
  <c r="G21" i="4"/>
  <c r="G22" i="4"/>
  <c r="G23" i="4"/>
  <c r="G24" i="4"/>
  <c r="G25" i="4"/>
  <c r="G27" i="4"/>
  <c r="G28" i="4"/>
  <c r="G29" i="4"/>
  <c r="G30" i="4"/>
  <c r="G31" i="4"/>
  <c r="G32" i="4"/>
  <c r="G33" i="4"/>
  <c r="G34" i="4"/>
  <c r="G36" i="4"/>
  <c r="G37" i="4"/>
  <c r="G38" i="4"/>
  <c r="G39" i="4"/>
  <c r="G40" i="4"/>
  <c r="G41" i="4"/>
  <c r="G42" i="4"/>
  <c r="G43" i="4"/>
  <c r="F18" i="4"/>
  <c r="F19" i="4"/>
  <c r="F20" i="4"/>
  <c r="F21" i="4"/>
  <c r="F22" i="4"/>
  <c r="F23" i="4"/>
  <c r="F24" i="4"/>
  <c r="F25" i="4"/>
  <c r="F27" i="4"/>
  <c r="F28" i="4"/>
  <c r="F29" i="4"/>
  <c r="F30" i="4"/>
  <c r="F31" i="4"/>
  <c r="F32" i="4"/>
  <c r="F33" i="4"/>
  <c r="F34" i="4"/>
  <c r="F36" i="4"/>
  <c r="F37" i="4"/>
  <c r="F38" i="4"/>
  <c r="F39" i="4"/>
  <c r="F40" i="4"/>
  <c r="F41" i="4"/>
  <c r="F42" i="4"/>
  <c r="F43" i="4"/>
  <c r="E18" i="4"/>
  <c r="E19" i="4"/>
  <c r="E20" i="4"/>
  <c r="E21" i="4"/>
  <c r="E22" i="4"/>
  <c r="E23" i="4"/>
  <c r="E24" i="4"/>
  <c r="E25" i="4"/>
  <c r="E27" i="4"/>
  <c r="E28" i="4"/>
  <c r="E29" i="4"/>
  <c r="E30" i="4"/>
  <c r="E31" i="4"/>
  <c r="E32" i="4"/>
  <c r="E33" i="4"/>
  <c r="E34" i="4"/>
  <c r="E36" i="4"/>
  <c r="E37" i="4"/>
  <c r="E38" i="4"/>
  <c r="E39" i="4"/>
  <c r="E40" i="4"/>
  <c r="E41" i="4"/>
  <c r="E42" i="4"/>
  <c r="E43" i="4"/>
  <c r="D18" i="4"/>
  <c r="D19" i="4"/>
  <c r="D20" i="4"/>
  <c r="D21" i="4"/>
  <c r="D22" i="4"/>
  <c r="D23" i="4"/>
  <c r="D24" i="4"/>
  <c r="D25" i="4"/>
  <c r="D27" i="4"/>
  <c r="D28" i="4"/>
  <c r="D29" i="4"/>
  <c r="D30" i="4"/>
  <c r="D31" i="4"/>
  <c r="D32" i="4"/>
  <c r="D33" i="4"/>
  <c r="D34" i="4"/>
  <c r="D36" i="4"/>
  <c r="D37" i="4"/>
  <c r="D38" i="4"/>
  <c r="D39" i="4"/>
  <c r="D40" i="4"/>
  <c r="D41" i="4"/>
  <c r="D42" i="4"/>
  <c r="D43" i="4"/>
  <c r="D17" i="4"/>
  <c r="E17" i="4"/>
  <c r="F17" i="4"/>
  <c r="G17" i="4"/>
  <c r="H17" i="4"/>
  <c r="I17" i="4"/>
  <c r="J17" i="4"/>
  <c r="K17" i="4"/>
  <c r="C18" i="4"/>
  <c r="C19" i="4"/>
  <c r="C20" i="4"/>
  <c r="C21" i="4"/>
  <c r="C22" i="4"/>
  <c r="C23" i="4"/>
  <c r="C24" i="4"/>
  <c r="C25" i="4"/>
  <c r="C17" i="4"/>
  <c r="B18" i="4"/>
  <c r="B19" i="4"/>
  <c r="B20" i="4"/>
  <c r="B21" i="4"/>
  <c r="B22" i="4"/>
  <c r="B23" i="4"/>
  <c r="B24" i="4"/>
  <c r="B25" i="4"/>
  <c r="A18" i="4"/>
  <c r="A19" i="4"/>
  <c r="A20" i="4"/>
  <c r="A21" i="4"/>
  <c r="A22" i="4"/>
  <c r="A23" i="4"/>
  <c r="A24" i="4"/>
  <c r="A25" i="4"/>
  <c r="B17" i="4"/>
  <c r="A17" i="4"/>
  <c r="C26" i="12" l="1"/>
  <c r="C26" i="4" s="1"/>
  <c r="D35" i="12"/>
  <c r="D35" i="4" s="1"/>
  <c r="E35" i="12"/>
  <c r="E35" i="4" s="1"/>
  <c r="F35" i="12"/>
  <c r="F35" i="4" s="1"/>
  <c r="G35" i="12"/>
  <c r="G35" i="4" s="1"/>
  <c r="H35" i="12"/>
  <c r="H35" i="4" s="1"/>
  <c r="I35" i="12"/>
  <c r="I35" i="4" s="1"/>
  <c r="J35" i="12"/>
  <c r="J35" i="4" s="1"/>
  <c r="K35" i="12"/>
  <c r="K35" i="4" s="1"/>
  <c r="F26" i="12" l="1"/>
  <c r="F26" i="4" s="1"/>
  <c r="D16" i="12" l="1"/>
  <c r="D16" i="4" s="1"/>
  <c r="G16" i="12"/>
  <c r="G16" i="4" s="1"/>
  <c r="K16" i="12"/>
  <c r="K16" i="4" s="1"/>
  <c r="E16" i="12"/>
  <c r="E16" i="4" s="1"/>
  <c r="F16" i="12"/>
  <c r="H16" i="12"/>
  <c r="H16" i="4" s="1"/>
  <c r="I16" i="12"/>
  <c r="I16" i="4" s="1"/>
  <c r="J16" i="12"/>
  <c r="J16" i="4" s="1"/>
  <c r="F44" i="12" l="1"/>
  <c r="F44" i="4" s="1"/>
  <c r="D59" i="4" s="1"/>
  <c r="F16" i="4"/>
  <c r="E44" i="12"/>
  <c r="E44" i="4" s="1"/>
  <c r="D58" i="4" s="1"/>
  <c r="C35" i="12"/>
  <c r="C35" i="4" s="1"/>
  <c r="G26" i="12"/>
  <c r="G26" i="4" s="1"/>
  <c r="K26" i="12"/>
  <c r="K26" i="4" s="1"/>
  <c r="J26" i="12"/>
  <c r="J26" i="4" s="1"/>
  <c r="E26" i="12"/>
  <c r="E26" i="4" s="1"/>
  <c r="I26" i="12"/>
  <c r="I26" i="4" s="1"/>
  <c r="D26" i="12"/>
  <c r="H26" i="12"/>
  <c r="C16" i="12"/>
  <c r="C16" i="4" s="1"/>
  <c r="H44" i="12" l="1"/>
  <c r="H44" i="4" s="1"/>
  <c r="H26" i="4"/>
  <c r="G44" i="12"/>
  <c r="G44" i="4" s="1"/>
  <c r="D44" i="12"/>
  <c r="D26" i="4"/>
  <c r="C44" i="12"/>
  <c r="D58" i="12"/>
  <c r="J44" i="12"/>
  <c r="J44" i="4" s="1"/>
  <c r="I44" i="12"/>
  <c r="I44" i="4" s="1"/>
  <c r="K44" i="12"/>
  <c r="K44" i="4" s="1"/>
  <c r="D59" i="12"/>
  <c r="H58" i="12" l="1"/>
  <c r="D44" i="4"/>
  <c r="H58" i="4" s="1"/>
  <c r="C44" i="4"/>
  <c r="D57" i="4" s="1"/>
  <c r="D57" i="12"/>
  <c r="H57" i="12" s="1"/>
  <c r="I58" i="12"/>
  <c r="E58" i="12"/>
  <c r="D63" i="12"/>
  <c r="E63" i="12" s="1"/>
  <c r="D60" i="12"/>
  <c r="H59" i="12" s="1"/>
  <c r="E59" i="12" l="1"/>
  <c r="H60" i="12"/>
  <c r="I60" i="12" s="1"/>
  <c r="I59" i="12"/>
  <c r="E60" i="12"/>
  <c r="D64" i="12"/>
  <c r="E64" i="12" s="1"/>
  <c r="E59" i="4"/>
  <c r="D63" i="4"/>
  <c r="H57" i="4"/>
  <c r="E58" i="4" l="1"/>
  <c r="D60" i="4"/>
  <c r="E60" i="4" s="1"/>
  <c r="D65" i="12"/>
  <c r="E65" i="12" s="1"/>
  <c r="I58" i="4"/>
  <c r="E63" i="4"/>
  <c r="D64" i="4" l="1"/>
  <c r="E64" i="4" s="1"/>
  <c r="H59" i="4"/>
  <c r="H60" i="4" s="1"/>
  <c r="I60" i="4" s="1"/>
  <c r="I59" i="4" l="1"/>
  <c r="D65" i="4"/>
  <c r="E65" i="4" s="1"/>
</calcChain>
</file>

<file path=xl/sharedStrings.xml><?xml version="1.0" encoding="utf-8"?>
<sst xmlns="http://schemas.openxmlformats.org/spreadsheetml/2006/main" count="264" uniqueCount="115">
  <si>
    <t xml:space="preserve">FO-70/30-01 </t>
  </si>
  <si>
    <t>Cálculo y determinación del porcentaje del 30% a que se refiere el artículo 42 de</t>
  </si>
  <si>
    <t>la Ley de Adquisiciones, Arrendamientos y Servicios del Sector Público</t>
  </si>
  <si>
    <t>Dependencia o Entidad: COMISION NACIONAL FORESTAL</t>
  </si>
  <si>
    <t>CONCEPTO</t>
  </si>
  <si>
    <t>PRESUPUESTO  ANUAL AUTORIZADO</t>
  </si>
  <si>
    <t>CONTRATACIONES FORMALIZADAS CON CONTRATO FIRMADO</t>
  </si>
  <si>
    <t xml:space="preserve">ENTRE DEPENDENCIAS Y ENTIDADES </t>
  </si>
  <si>
    <t xml:space="preserve">        ARTÍCULO 42</t>
  </si>
  <si>
    <t xml:space="preserve">     ARTÍCULO 41</t>
  </si>
  <si>
    <t>LICITACIÓN PÚBLICA</t>
  </si>
  <si>
    <t>CLAVE</t>
  </si>
  <si>
    <t xml:space="preserve">DESCRIPCIÓN </t>
  </si>
  <si>
    <t>(Incluye modificaciones, en su caso)</t>
  </si>
  <si>
    <t>ADJUDICACIÓN DIRECTA</t>
  </si>
  <si>
    <t>INVITACIÓN A CUANDO MENOS TRES PERSONAS</t>
  </si>
  <si>
    <t>PATENTE</t>
  </si>
  <si>
    <t>COSTOS ADICIONALES</t>
  </si>
  <si>
    <t>MARCA DETERMINADA</t>
  </si>
  <si>
    <t>OTROS</t>
  </si>
  <si>
    <t>(Párrafo quinto del
art.1 de la Ley)</t>
  </si>
  <si>
    <t>(Arts. 26, 26 Bis y 28 de
la Ley)</t>
  </si>
  <si>
    <t>I</t>
  </si>
  <si>
    <t>III</t>
  </si>
  <si>
    <t>VIII</t>
  </si>
  <si>
    <t xml:space="preserve"> II, IV a VII y IX a XX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</si>
  <si>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</si>
  <si>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</si>
  <si>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</si>
  <si>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</si>
  <si>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</si>
  <si>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</si>
  <si>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</si>
  <si>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</si>
  <si>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</si>
  <si>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CAPÍTULO 2000 - MATERIALES Y SUMINISTROS</t>
  </si>
  <si>
    <t>TOTAL</t>
  </si>
  <si>
    <t xml:space="preserve"> - Los incrementos en las cantidades, conforme al artículo 52 de la Ley, se incluirán en la columna que corresponda al contrato original que se haya modificado.</t>
  </si>
  <si>
    <t xml:space="preserve">Nota:    </t>
  </si>
  <si>
    <t>Podrán considerarse o excluirse otras partidas, de existir particularidades que así lo justifiquen.</t>
  </si>
  <si>
    <t xml:space="preserve"> - Las contrataciones que se realicen por la rescisión de contratos (art. 41 fracc. VI de la Ley), se adicionarán en la columna H y se restará de lo que corresponda al contrato rescindido.</t>
  </si>
  <si>
    <t>C + D   X  100</t>
  </si>
  <si>
    <t>que será igual o menor a 30%</t>
  </si>
  <si>
    <t>Porcentaje restante integrado por =</t>
  </si>
  <si>
    <t>B + E + F + G + H + I   X  100%</t>
  </si>
  <si>
    <t>que será mayor o igual a 70 %</t>
  </si>
  <si>
    <t>A</t>
  </si>
  <si>
    <t xml:space="preserve">                   </t>
  </si>
  <si>
    <t xml:space="preserve">
</t>
  </si>
  <si>
    <t xml:space="preserve">Fuente: </t>
  </si>
  <si>
    <t>Clasificador por Objeto del Gasto</t>
  </si>
  <si>
    <t>Porcentajes Generales</t>
  </si>
  <si>
    <t>( A ) Presupuesto</t>
  </si>
  <si>
    <t>( C ) Adjudicaciones Directas Art 42</t>
  </si>
  <si>
    <t>(B + E + F + G + H + I )
Adjudicaciones que no afectan el 30%</t>
  </si>
  <si>
    <t>( D ) Invitacion a Cuando Menos Tres Personas.</t>
  </si>
  <si>
    <t>( C+D) Compromiso del 30%</t>
  </si>
  <si>
    <t>( C+D ) Compromiso  del 30%</t>
  </si>
  <si>
    <t>Totales de Compromisos del 30% y los Diferentes Procesos de Adquisiciones contra el Presupuesto Asignado</t>
  </si>
  <si>
    <t>Porcentaje Comprometido Al Presupesto del 30%</t>
  </si>
  <si>
    <t xml:space="preserve">( A*30% ) Presupuesto Disponible Hasta un 30% </t>
  </si>
  <si>
    <t>Porcentajes del 30% del Presupuesto</t>
  </si>
  <si>
    <t>(Miles de pesos)</t>
  </si>
  <si>
    <t>Diferencia</t>
  </si>
  <si>
    <r>
      <t xml:space="preserve">CAPÍTULO 3000 - SERVICIOS GENERALES </t>
    </r>
    <r>
      <rPr>
        <sz val="12"/>
        <color theme="1"/>
        <rFont val="Arial"/>
        <family val="2"/>
      </rPr>
      <t>(Excepto el Concepto 3900)</t>
    </r>
  </si>
  <si>
    <r>
      <t>CAPÍTULO 5000 - BIENES MUEBLES, INMUEBLES</t>
    </r>
    <r>
      <rPr>
        <sz val="12"/>
        <color theme="1"/>
        <rFont val="Arial"/>
        <family val="2"/>
      </rPr>
      <t xml:space="preserve"> </t>
    </r>
    <r>
      <rPr>
        <b/>
        <sz val="12"/>
        <rFont val="Arial"/>
        <family val="2"/>
      </rPr>
      <t>E INTANGIBLES</t>
    </r>
    <r>
      <rPr>
        <sz val="12"/>
        <color theme="1"/>
        <rFont val="Arial"/>
        <family val="2"/>
      </rPr>
      <t xml:space="preserve"> (Excepto el concepto 5800)</t>
    </r>
  </si>
  <si>
    <r>
      <rPr>
        <sz val="12"/>
        <color rgb="FFFF0000"/>
        <rFont val="Arial"/>
        <family val="2"/>
      </rPr>
      <t>Porcentaje</t>
    </r>
    <r>
      <rPr>
        <sz val="12"/>
        <color theme="1"/>
        <rFont val="Arial"/>
        <family val="2"/>
      </rPr>
      <t xml:space="preserve"> de contrataciones formalizadas conforme al artículo 42 de la Ley =</t>
    </r>
  </si>
  <si>
    <t>Excepto las partidas</t>
  </si>
  <si>
    <t xml:space="preserve">Excepto </t>
  </si>
  <si>
    <t>(Excepto el Concepto 3900)</t>
  </si>
  <si>
    <t>(Excepto las partidas 321 y 322)</t>
  </si>
  <si>
    <t xml:space="preserve"> (Excepto las partidas 341, 343 y 349)</t>
  </si>
  <si>
    <t>(Excepto la partida 351)</t>
  </si>
  <si>
    <t>(Excepto las partidas 375 a 379)</t>
  </si>
  <si>
    <t xml:space="preserve"> (Excepto el concepto 5800)</t>
  </si>
  <si>
    <t>(Excepto las partidas 592 a 596 y 598)</t>
  </si>
  <si>
    <t>(Millones de pesos)</t>
  </si>
  <si>
    <t>Excepto el Concepto 3900</t>
  </si>
  <si>
    <t>Excepto la partida 351</t>
  </si>
  <si>
    <t>Excepto las partidas 321 y 322</t>
  </si>
  <si>
    <t>Excepto las partidas 375 a 379</t>
  </si>
  <si>
    <t>Excepto las partidas 592 a 596 y 598</t>
  </si>
  <si>
    <t>Excepto el concepto 5800</t>
  </si>
  <si>
    <t>Excepto las partidas 341, 343 y 349</t>
  </si>
  <si>
    <t>presupuesto</t>
  </si>
  <si>
    <t xml:space="preserve"> </t>
  </si>
  <si>
    <t>Total general</t>
  </si>
  <si>
    <t>Excepciones del presupeusto proporcionado</t>
  </si>
  <si>
    <t>Del reporte de ordenes de compra se consideran lo siguiente:</t>
  </si>
  <si>
    <t>Monto minimo con iva incluido</t>
  </si>
  <si>
    <t>Se realizan las excepciones correspondientes del formato</t>
  </si>
  <si>
    <t>Y se modifican los articulos de la base de datos conforme a la relación de contratos de alfredo</t>
  </si>
  <si>
    <t>Se consideran Contratos Plurianuales y solo el importe del ejercicio</t>
  </si>
  <si>
    <t>Solamente se ingresan registros con fecha de incicio que abarcan el prier trimestre</t>
  </si>
  <si>
    <t>MODIFICADO ANUAL MARZO</t>
  </si>
  <si>
    <t>Periodo: del 01 de enero al 31 de marzo 2020</t>
  </si>
  <si>
    <t>Contrato SAI</t>
  </si>
  <si>
    <t>Fundamento Legal</t>
  </si>
  <si>
    <t>Partida Presupuestal</t>
  </si>
  <si>
    <t>Contrato CNET</t>
  </si>
  <si>
    <t>Fecha Inicio</t>
  </si>
  <si>
    <t>Fecha Fin</t>
  </si>
  <si>
    <t>Fecha Formalización</t>
  </si>
  <si>
    <t>RFC</t>
  </si>
  <si>
    <t>Concepto</t>
  </si>
  <si>
    <t>Código Contrato</t>
  </si>
  <si>
    <t>Código Expediente</t>
  </si>
  <si>
    <t>Pedido SAI</t>
  </si>
  <si>
    <t>Folio de Pago</t>
  </si>
  <si>
    <t>Contrarecibo</t>
  </si>
  <si>
    <t>Área</t>
  </si>
  <si>
    <t>Razón Social</t>
  </si>
  <si>
    <t>Monto Total Con IVA</t>
  </si>
  <si>
    <t>Total Contratado Con IVA</t>
  </si>
  <si>
    <t>Total Pedido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</si>
</sst>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&quot;$&quot;#,##0.00"/>
    <numFmt numFmtId="166" formatCode="_-* #,##0.0000_-;\-* #,##0.0000_-;_-* &quot;-&quot;??_-;_-@_-"/>
    <numFmt numFmtId="167" formatCode="_(* #,##0.000000_);_(* \(#,##0.000000\);_(* &quot;-&quot;??_);_(@_)"/>
  </numFmts>
  <fonts count="15">
    <font>
      <sz val="10"/>
      <color theme="1"/>
      <name val="Soberana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Tahoma"/>
      <family val="2"/>
    </font>
    <font>
      <sz val="10"/>
      <color theme="1"/>
      <name val="Soberana Sans"/>
      <family val="2"/>
    </font>
    <font>
      <sz val="12"/>
      <name val="Arial"/>
      <family val="2"/>
    </font>
    <font>
      <i/>
      <sz val="12"/>
      <name val="Arial"/>
      <family val="2"/>
    </font>
    <font>
      <sz val="12"/>
      <color rgb="FFFF0000"/>
      <name val="Arial"/>
      <family val="2"/>
    </font>
    <font>
      <b/>
      <u/>
      <sz val="12"/>
      <name val="Arial"/>
      <family val="2"/>
    </font>
    <font>
      <sz val="12"/>
      <color theme="1"/>
      <name val="Arial"/>
      <family val="2"/>
    </font>
    <font>
      <sz val="10"/>
      <color rgb="FFFF0000"/>
      <name val="Soberana Sans"/>
      <family val="2"/>
    </font>
    <font>
      <sz val="11"/>
      <color theme="1"/>
      <name val="Arial"/>
      <family val="2"/>
    </font>
    <font>
      <b/>
      <sz val="10"/>
      <color theme="0"/>
      <name val="Soberana Sans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1">
    <xf numFmtId="0" fontId="0" fillId="0" borderId="0"/>
    <xf numFmtId="0" fontId="2" fillId="0" borderId="0"/>
    <xf numFmtId="0" fontId="3" fillId="0" borderId="0"/>
    <xf numFmtId="0" fontId="5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</cellStyleXfs>
  <cellXfs count="116">
    <xf numFmtId="0" fontId="0" fillId="0" borderId="0" xfId="0"/>
    <xf numFmtId="0" fontId="4" fillId="0" borderId="0" xfId="1" applyFont="1" applyAlignment="1">
      <alignment horizontal="centerContinuous"/>
    </xf>
    <xf numFmtId="0" fontId="4" fillId="2" borderId="2" xfId="1" applyFont="1" applyFill="1" applyBorder="1" applyAlignment="1">
      <alignment horizontal="center"/>
    </xf>
    <xf numFmtId="164" fontId="4" fillId="0" borderId="0" xfId="1" applyNumberFormat="1" applyFont="1" applyAlignment="1">
      <alignment wrapText="1"/>
    </xf>
    <xf numFmtId="0" fontId="4" fillId="0" borderId="0" xfId="1" applyFont="1" applyAlignment="1">
      <alignment wrapText="1"/>
    </xf>
    <xf numFmtId="0" fontId="7" fillId="0" borderId="0" xfId="1" applyFont="1"/>
    <xf numFmtId="0" fontId="4" fillId="0" borderId="0" xfId="1" applyFont="1"/>
    <xf numFmtId="0" fontId="7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vertical="center" wrapText="1"/>
    </xf>
    <xf numFmtId="0" fontId="7" fillId="0" borderId="0" xfId="1" applyFont="1" applyAlignment="1">
      <alignment wrapText="1"/>
    </xf>
    <xf numFmtId="165" fontId="7" fillId="0" borderId="0" xfId="1" applyNumberFormat="1" applyFont="1"/>
    <xf numFmtId="0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10" fillId="0" borderId="0" xfId="1" applyFont="1" applyAlignment="1">
      <alignment horizontal="center"/>
    </xf>
    <xf numFmtId="0" fontId="7" fillId="0" borderId="0" xfId="1" applyFont="1" applyAlignment="1">
      <alignment horizontal="right"/>
    </xf>
    <xf numFmtId="0" fontId="4" fillId="0" borderId="3" xfId="1" applyFont="1" applyBorder="1"/>
    <xf numFmtId="0" fontId="7" fillId="0" borderId="3" xfId="1" applyFont="1" applyBorder="1"/>
    <xf numFmtId="0" fontId="4" fillId="0" borderId="3" xfId="1" applyFont="1" applyBorder="1" applyAlignment="1">
      <alignment horizontal="center"/>
    </xf>
    <xf numFmtId="49" fontId="7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justify" vertical="center"/>
    </xf>
    <xf numFmtId="0" fontId="7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11" fillId="0" borderId="0" xfId="2" applyFont="1"/>
    <xf numFmtId="164" fontId="7" fillId="0" borderId="4" xfId="4" applyFont="1" applyFill="1" applyBorder="1" applyAlignment="1">
      <alignment vertical="center"/>
    </xf>
    <xf numFmtId="10" fontId="7" fillId="0" borderId="5" xfId="5" applyNumberFormat="1" applyFont="1" applyFill="1" applyBorder="1" applyAlignment="1">
      <alignment horizontal="center" vertical="center"/>
    </xf>
    <xf numFmtId="164" fontId="7" fillId="0" borderId="0" xfId="4" applyFont="1" applyFill="1" applyBorder="1" applyAlignment="1">
      <alignment vertical="center"/>
    </xf>
    <xf numFmtId="164" fontId="7" fillId="0" borderId="8" xfId="4" applyFont="1" applyFill="1" applyBorder="1" applyAlignment="1">
      <alignment vertical="center"/>
    </xf>
    <xf numFmtId="164" fontId="7" fillId="0" borderId="9" xfId="4" applyFont="1" applyFill="1" applyBorder="1" applyAlignment="1">
      <alignment horizontal="center" vertical="center"/>
    </xf>
    <xf numFmtId="43" fontId="4" fillId="0" borderId="0" xfId="1" applyNumberFormat="1" applyFont="1" applyAlignment="1">
      <alignment horizontal="center"/>
    </xf>
    <xf numFmtId="10" fontId="7" fillId="0" borderId="7" xfId="5" applyNumberFormat="1" applyFont="1" applyFill="1" applyBorder="1" applyAlignment="1">
      <alignment horizontal="center" vertical="center"/>
    </xf>
    <xf numFmtId="10" fontId="7" fillId="0" borderId="12" xfId="5" applyNumberFormat="1" applyFont="1" applyFill="1" applyBorder="1" applyAlignment="1">
      <alignment horizontal="center" vertical="center"/>
    </xf>
    <xf numFmtId="164" fontId="7" fillId="0" borderId="1" xfId="4" applyFont="1" applyFill="1" applyBorder="1" applyAlignment="1">
      <alignment vertical="center"/>
    </xf>
    <xf numFmtId="0" fontId="7" fillId="0" borderId="1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1" xfId="1" applyFont="1" applyBorder="1"/>
    <xf numFmtId="0" fontId="7" fillId="0" borderId="12" xfId="1" applyFont="1" applyBorder="1"/>
    <xf numFmtId="10" fontId="4" fillId="0" borderId="7" xfId="5" applyNumberFormat="1" applyFont="1" applyFill="1" applyBorder="1" applyAlignment="1">
      <alignment horizontal="center" vertical="center"/>
    </xf>
    <xf numFmtId="43" fontId="0" fillId="0" borderId="0" xfId="0" applyNumberFormat="1"/>
    <xf numFmtId="43" fontId="0" fillId="0" borderId="0" xfId="6" applyFont="1"/>
    <xf numFmtId="43" fontId="12" fillId="0" borderId="0" xfId="6" applyFont="1"/>
    <xf numFmtId="43" fontId="4" fillId="0" borderId="0" xfId="1" applyNumberFormat="1" applyFont="1" applyAlignment="1">
      <alignment horizontal="right"/>
    </xf>
    <xf numFmtId="0" fontId="0" fillId="0" borderId="2" xfId="0" applyBorder="1" applyAlignment="1">
      <alignment horizontal="center" vertical="center"/>
    </xf>
    <xf numFmtId="43" fontId="0" fillId="0" borderId="2" xfId="6" applyFont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43" fontId="0" fillId="4" borderId="2" xfId="6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1" applyFont="1" applyAlignment="1">
      <alignment horizontal="center" vertical="center"/>
    </xf>
    <xf numFmtId="43" fontId="7" fillId="0" borderId="0" xfId="1" applyNumberFormat="1" applyFont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0" fontId="7" fillId="0" borderId="18" xfId="5" applyNumberFormat="1" applyFont="1" applyFill="1" applyBorder="1" applyAlignment="1">
      <alignment horizontal="center" vertical="center"/>
    </xf>
    <xf numFmtId="10" fontId="7" fillId="0" borderId="20" xfId="5" applyNumberFormat="1" applyFont="1" applyFill="1" applyBorder="1" applyAlignment="1">
      <alignment horizontal="center" vertical="center"/>
    </xf>
    <xf numFmtId="10" fontId="4" fillId="0" borderId="21" xfId="5" applyNumberFormat="1" applyFont="1" applyFill="1" applyBorder="1" applyAlignment="1">
      <alignment horizontal="center" vertical="center"/>
    </xf>
    <xf numFmtId="43" fontId="7" fillId="0" borderId="0" xfId="1" applyNumberFormat="1" applyFont="1"/>
    <xf numFmtId="166" fontId="4" fillId="2" borderId="2" xfId="6" applyNumberFormat="1" applyFont="1" applyFill="1" applyBorder="1" applyAlignment="1">
      <alignment horizontal="center" vertical="center" wrapText="1"/>
    </xf>
    <xf numFmtId="166" fontId="13" fillId="0" borderId="2" xfId="6" applyNumberFormat="1" applyFont="1" applyBorder="1" applyAlignment="1">
      <alignment horizontal="center" vertical="center" wrapText="1"/>
    </xf>
    <xf numFmtId="167" fontId="7" fillId="0" borderId="9" xfId="4" applyNumberFormat="1" applyFont="1" applyFill="1" applyBorder="1" applyAlignment="1">
      <alignment horizontal="center" vertical="center"/>
    </xf>
    <xf numFmtId="166" fontId="13" fillId="0" borderId="0" xfId="6" applyNumberFormat="1" applyFont="1" applyBorder="1" applyAlignment="1">
      <alignment horizontal="center" vertical="center" wrapText="1"/>
    </xf>
    <xf numFmtId="0" fontId="14" fillId="6" borderId="29" xfId="0" applyFont="1" applyFill="1" applyBorder="1"/>
    <xf numFmtId="0" fontId="14" fillId="6" borderId="30" xfId="0" applyFont="1" applyFill="1" applyBorder="1"/>
    <xf numFmtId="14" fontId="0" fillId="0" borderId="0" xfId="0" applyNumberFormat="1"/>
    <xf numFmtId="43" fontId="14" fillId="6" borderId="31" xfId="6" applyFont="1" applyFill="1" applyBorder="1"/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4" fillId="2" borderId="2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  <xf numFmtId="0" fontId="4" fillId="2" borderId="2" xfId="1" applyFont="1" applyFill="1" applyBorder="1" applyAlignment="1">
      <alignment horizontal="right" vertical="center"/>
    </xf>
    <xf numFmtId="0" fontId="7" fillId="0" borderId="0" xfId="1" applyFont="1" applyAlignment="1">
      <alignment horizontal="left" vertical="center" wrapText="1"/>
    </xf>
    <xf numFmtId="0" fontId="10" fillId="0" borderId="0" xfId="1" applyFont="1" applyAlignment="1">
      <alignment horizontal="center"/>
    </xf>
    <xf numFmtId="0" fontId="4" fillId="3" borderId="1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 wrapText="1"/>
    </xf>
    <xf numFmtId="0" fontId="4" fillId="3" borderId="15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/>
    </xf>
    <xf numFmtId="0" fontId="4" fillId="3" borderId="16" xfId="3" applyFont="1" applyFill="1" applyBorder="1" applyAlignment="1">
      <alignment horizontal="center" vertical="center"/>
    </xf>
    <xf numFmtId="0" fontId="7" fillId="0" borderId="17" xfId="3" applyFont="1" applyBorder="1" applyAlignment="1">
      <alignment horizontal="right" vertical="center" wrapText="1"/>
    </xf>
    <xf numFmtId="0" fontId="7" fillId="0" borderId="4" xfId="3" applyFont="1" applyBorder="1" applyAlignment="1">
      <alignment horizontal="right" vertical="center" wrapText="1"/>
    </xf>
    <xf numFmtId="0" fontId="7" fillId="0" borderId="4" xfId="3" applyFont="1" applyBorder="1" applyAlignment="1">
      <alignment horizontal="left" vertical="center" wrapText="1"/>
    </xf>
    <xf numFmtId="0" fontId="7" fillId="0" borderId="19" xfId="3" applyFont="1" applyBorder="1" applyAlignment="1">
      <alignment horizontal="right" vertical="center" wrapText="1"/>
    </xf>
    <xf numFmtId="0" fontId="7" fillId="0" borderId="0" xfId="3" applyFont="1" applyAlignment="1">
      <alignment horizontal="right" vertical="center" wrapText="1"/>
    </xf>
    <xf numFmtId="0" fontId="7" fillId="0" borderId="0" xfId="3" applyFont="1" applyAlignment="1">
      <alignment horizontal="left" vertical="center" wrapText="1"/>
    </xf>
    <xf numFmtId="9" fontId="7" fillId="0" borderId="0" xfId="3" applyNumberFormat="1" applyFont="1" applyAlignment="1">
      <alignment horizontal="left" vertical="center" wrapText="1"/>
    </xf>
    <xf numFmtId="9" fontId="7" fillId="0" borderId="19" xfId="3" applyNumberFormat="1" applyFont="1" applyBorder="1" applyAlignment="1">
      <alignment horizontal="right" vertical="center" wrapText="1"/>
    </xf>
    <xf numFmtId="9" fontId="7" fillId="0" borderId="0" xfId="3" applyNumberFormat="1" applyFont="1" applyAlignment="1">
      <alignment horizontal="right" vertical="center" wrapText="1"/>
    </xf>
    <xf numFmtId="10" fontId="4" fillId="0" borderId="10" xfId="5" applyNumberFormat="1" applyFont="1" applyFill="1" applyBorder="1" applyAlignment="1">
      <alignment horizontal="center" vertical="center"/>
    </xf>
    <xf numFmtId="10" fontId="4" fillId="0" borderId="7" xfId="5" applyNumberFormat="1" applyFont="1" applyFill="1" applyBorder="1" applyAlignment="1">
      <alignment horizontal="center" vertical="center"/>
    </xf>
    <xf numFmtId="10" fontId="4" fillId="0" borderId="24" xfId="5" applyNumberFormat="1" applyFont="1" applyFill="1" applyBorder="1" applyAlignment="1">
      <alignment horizontal="center" vertical="center"/>
    </xf>
    <xf numFmtId="9" fontId="7" fillId="0" borderId="3" xfId="3" applyNumberFormat="1" applyFont="1" applyBorder="1" applyAlignment="1">
      <alignment horizontal="left" vertical="center" wrapText="1"/>
    </xf>
    <xf numFmtId="10" fontId="4" fillId="5" borderId="22" xfId="5" applyNumberFormat="1" applyFont="1" applyFill="1" applyBorder="1" applyAlignment="1">
      <alignment horizontal="center" vertical="center"/>
    </xf>
    <xf numFmtId="10" fontId="4" fillId="5" borderId="20" xfId="5" applyNumberFormat="1" applyFont="1" applyFill="1" applyBorder="1" applyAlignment="1">
      <alignment horizontal="center" vertical="center"/>
    </xf>
    <xf numFmtId="10" fontId="4" fillId="5" borderId="25" xfId="5" applyNumberFormat="1" applyFont="1" applyFill="1" applyBorder="1" applyAlignment="1">
      <alignment horizontal="center" vertical="center"/>
    </xf>
    <xf numFmtId="0" fontId="7" fillId="0" borderId="23" xfId="3" applyFont="1" applyBorder="1" applyAlignment="1">
      <alignment horizontal="right" vertical="center" wrapText="1"/>
    </xf>
    <xf numFmtId="0" fontId="7" fillId="0" borderId="3" xfId="3" applyFont="1" applyBorder="1" applyAlignment="1">
      <alignment horizontal="right" vertical="center" wrapText="1"/>
    </xf>
    <xf numFmtId="9" fontId="7" fillId="0" borderId="6" xfId="3" applyNumberFormat="1" applyFont="1" applyBorder="1" applyAlignment="1">
      <alignment horizontal="right" vertical="center" wrapText="1"/>
    </xf>
    <xf numFmtId="9" fontId="7" fillId="0" borderId="11" xfId="3" applyNumberFormat="1" applyFont="1" applyBorder="1" applyAlignment="1">
      <alignment horizontal="right" vertical="center" wrapText="1"/>
    </xf>
    <xf numFmtId="9" fontId="7" fillId="0" borderId="1" xfId="3" applyNumberFormat="1" applyFont="1" applyBorder="1" applyAlignment="1">
      <alignment horizontal="right" vertical="center" wrapText="1"/>
    </xf>
    <xf numFmtId="166" fontId="13" fillId="0" borderId="26" xfId="6" applyNumberFormat="1" applyFont="1" applyBorder="1" applyAlignment="1">
      <alignment horizontal="center" vertical="center" wrapText="1"/>
    </xf>
    <xf numFmtId="166" fontId="13" fillId="0" borderId="27" xfId="6" applyNumberFormat="1" applyFont="1" applyBorder="1" applyAlignment="1">
      <alignment horizontal="center" vertical="center" wrapText="1"/>
    </xf>
    <xf numFmtId="166" fontId="13" fillId="0" borderId="28" xfId="6" applyNumberFormat="1" applyFont="1" applyBorder="1" applyAlignment="1">
      <alignment horizontal="center" vertical="center" wrapText="1"/>
    </xf>
    <xf numFmtId="9" fontId="4" fillId="0" borderId="10" xfId="10" applyFont="1" applyFill="1" applyBorder="1" applyAlignment="1">
      <alignment horizontal="center" vertical="center"/>
    </xf>
    <xf numFmtId="9" fontId="4" fillId="0" borderId="7" xfId="10" applyFont="1" applyFill="1" applyBorder="1" applyAlignment="1">
      <alignment horizontal="center" vertical="center"/>
    </xf>
    <xf numFmtId="9" fontId="4" fillId="0" borderId="24" xfId="10" applyFont="1" applyFill="1" applyBorder="1" applyAlignment="1">
      <alignment horizontal="center" vertical="center"/>
    </xf>
    <xf numFmtId="164" fontId="7" fillId="0" borderId="9" xfId="4" applyFont="1" applyFill="1" applyBorder="1" applyAlignment="1">
      <alignment horizontal="center" vertical="center"/>
    </xf>
    <xf numFmtId="164" fontId="7" fillId="0" borderId="0" xfId="4" applyFont="1" applyFill="1" applyBorder="1" applyAlignment="1">
      <alignment horizontal="center" vertical="center"/>
    </xf>
    <xf numFmtId="164" fontId="7" fillId="0" borderId="3" xfId="4" applyFont="1" applyFill="1" applyBorder="1" applyAlignment="1">
      <alignment horizontal="center" vertical="center"/>
    </xf>
    <xf numFmtId="10" fontId="7" fillId="5" borderId="22" xfId="5" applyNumberFormat="1" applyFont="1" applyFill="1" applyBorder="1" applyAlignment="1">
      <alignment horizontal="center" vertical="center"/>
    </xf>
    <xf numFmtId="10" fontId="7" fillId="5" borderId="20" xfId="5" applyNumberFormat="1" applyFont="1" applyFill="1" applyBorder="1" applyAlignment="1">
      <alignment horizontal="center" vertical="center"/>
    </xf>
    <xf numFmtId="10" fontId="7" fillId="5" borderId="25" xfId="5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</cellXfs>
  <cellStyles count="11">
    <cellStyle name="Millares" xfId="6" builtinId="3"/>
    <cellStyle name="Millares 2" xfId="4" xr:uid="{00000000-0005-0000-0000-000001000000}"/>
    <cellStyle name="Normal" xfId="0" builtinId="0"/>
    <cellStyle name="Normal 2" xfId="1" xr:uid="{00000000-0005-0000-0000-000003000000}"/>
    <cellStyle name="Normal 2 2" xfId="9" xr:uid="{00000000-0005-0000-0000-000004000000}"/>
    <cellStyle name="Normal 3" xfId="2" xr:uid="{00000000-0005-0000-0000-000005000000}"/>
    <cellStyle name="Normal 3 2" xfId="8" xr:uid="{00000000-0005-0000-0000-000006000000}"/>
    <cellStyle name="Normal 3 3" xfId="7" xr:uid="{00000000-0005-0000-0000-000007000000}"/>
    <cellStyle name="Normal_PROGRESO DEL 20% 2005" xfId="3" xr:uid="{00000000-0005-0000-0000-000008000000}"/>
    <cellStyle name="Porcentaje" xfId="10" builtinId="5"/>
    <cellStyle name="Porcentaje 2" xfId="5" xr:uid="{00000000-0005-0000-0000-00000A000000}"/>
  </cellStyles>
  <dxfs count="6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berana Sans"/>
        <family val="2"/>
        <scheme val="none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berana Sans"/>
        <family val="2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D3B516-C95D-4FF8-99B3-955CBBCAC528}" name="Tabla2" displayName="Tabla2" ref="A1:M5" totalsRowShown="0" headerRowDxfId="5" headerRowBorderDxfId="4" tableBorderDxfId="3">
  <autoFilter ref="A1:M5" xr:uid="{D6D3B516-C95D-4FF8-99B3-955CBBCAC528}"/>
  <tableColumns count="13">
    <tableColumn id="1" xr3:uid="{F9C7C9F3-4515-4352-B322-5910630FB723}" name="Contrato SAI"/>
    <tableColumn id="2" xr3:uid="{5594520F-527A-4049-94BA-B2D0CF6AC31A}" name="Fundamento Legal"/>
    <tableColumn id="3" xr3:uid="{9369E2E6-ED8F-479D-A561-6ADD1D9871EC}" name="Partida Presupuestal"/>
    <tableColumn id="4" xr3:uid="{296F0A9E-E38D-4177-A8DC-F8D44B11F909}" name="Contrato CNET"/>
    <tableColumn id="5" xr3:uid="{49285BC7-6255-4732-BCF4-7B260091A7FC}" name="Fecha Inicio"/>
    <tableColumn id="6" xr3:uid="{A52AC302-2D5A-47A5-B1A7-B9F6F2759BD2}" name="Fecha Fin"/>
    <tableColumn id="7" xr3:uid="{2CC9703E-0678-4822-8EC8-791461A11827}" name="Fecha Formalización"/>
    <tableColumn id="8" xr3:uid="{7AFF40FC-DC75-4EC0-8256-B42059916163}" name="RFC"/>
    <tableColumn id="13" xr3:uid="{499A128D-214B-4388-9614-C740C34AB98E}" name="Razón Social"/>
    <tableColumn id="9" xr3:uid="{C05616C2-7345-462F-94E9-BE65B66DAE1A}" name="Concepto"/>
    <tableColumn id="10" xr3:uid="{C5019321-7FD0-4B9D-AA5A-80227FBA7D79}" name="Código Contrato"/>
    <tableColumn id="11" xr3:uid="{6B9B0B0C-927D-42D8-921A-B0C51D91AF36}" name="Código Expediente"/>
    <tableColumn id="12" xr3:uid="{EB198E7F-8EDD-4780-AE26-B0338D3EE11B}" name="Total Contratado Con IVA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C6EA02-06E6-40F8-A04F-EBA60967AC5F}" name="Tabla3" displayName="Tabla3" ref="A1:M5" totalsRowShown="0" headerRowDxfId="2" headerRowBorderDxfId="1" tableBorderDxfId="0">
  <autoFilter ref="A1:M5" xr:uid="{BCC6EA02-06E6-40F8-A04F-EBA60967AC5F}"/>
  <tableColumns count="13">
    <tableColumn id="1" xr3:uid="{08D9AC8D-0399-4F6F-B20A-BC3C057BF344}" name="Pedido SAI"/>
    <tableColumn id="2" xr3:uid="{FB62B42C-1D53-4213-B9CD-6612BF91A193}" name="Fundamento Legal"/>
    <tableColumn id="3" xr3:uid="{C344D802-9BC7-4D9D-9449-88245B493AD4}" name="Partida Presupuestal"/>
    <tableColumn id="4" xr3:uid="{215CFC44-C120-428F-9A25-10C698CA1FE5}" name="Contrato CNET"/>
    <tableColumn id="5" xr3:uid="{B92C4B05-8D78-459D-8255-161CEBB00952}" name="Fecha Inicio"/>
    <tableColumn id="6" xr3:uid="{EF151066-DF65-41CB-9B37-8EC06F23D6B3}" name="Fecha Fin"/>
    <tableColumn id="7" xr3:uid="{589A454B-9FEE-4A91-AFE4-B0B71961235D}" name="Fecha Formalización"/>
    <tableColumn id="8" xr3:uid="{721AC181-5B14-44AC-90AE-7702B7535C74}" name="RFC"/>
    <tableColumn id="13" xr3:uid="{4584915E-85C7-483B-954A-CBD49841FDE5}" name="Razón Social"/>
    <tableColumn id="9" xr3:uid="{C4A06359-D09D-4A7D-A2B7-6C9179094C17}" name="Concepto"/>
    <tableColumn id="10" xr3:uid="{F4D86430-E009-4D84-99B4-1DA86671801D}" name="Código Contrato"/>
    <tableColumn id="11" xr3:uid="{761E4554-8067-4E57-BDD6-41F8C78C0E87}" name="Código Expediente"/>
    <tableColumn id="12" xr3:uid="{79B1D8A2-DAB7-4854-8968-52E95DCADBF6}" name="Total Pedido Con IVA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F824D5-CDBD-4F9F-98B5-4D945BCBC223}" name="Tabla4" displayName="Tabla4" ref="A1:H4" totalsRowShown="0">
  <autoFilter ref="A1:H4" xr:uid="{CFF824D5-CDBD-4F9F-98B5-4D945BCBC223}"/>
  <tableColumns count="8">
    <tableColumn id="1" xr3:uid="{D635F2B9-A0B0-4AAE-94C4-0D4B52A12D3D}" name="Folio de Pago"/>
    <tableColumn id="2" xr3:uid="{1E152047-884F-4D00-9619-3896B9512962}" name="Contrarecibo"/>
    <tableColumn id="3" xr3:uid="{502815CE-D06B-4645-B38F-4E9A8DFA11CA}" name="Concepto"/>
    <tableColumn id="4" xr3:uid="{F7E2F83D-9C52-4E49-8642-EF86144A26BE}" name="Área"/>
    <tableColumn id="5" xr3:uid="{C42A1383-963F-4295-964B-3C4D38F5DDC7}" name="RFC"/>
    <tableColumn id="6" xr3:uid="{B378BBB7-A6E2-4C56-A21E-71BF931113C7}" name="Razón Social"/>
    <tableColumn id="7" xr3:uid="{1556FF9D-D898-4174-9907-3E1F061C2479}" name="Partida Presupuestal"/>
    <tableColumn id="8" xr3:uid="{218EF804-F1F9-4CD2-B51C-76006E43920F}" name="Monto Total Con IVA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3" tint="0.39997558519241921"/>
    <pageSetUpPr fitToPage="1"/>
  </sheetPr>
  <dimension ref="A2:M67"/>
  <sheetViews>
    <sheetView tabSelected="1" view="pageBreakPreview" topLeftCell="A4" zoomScale="70" zoomScaleNormal="55" zoomScaleSheetLayoutView="70" workbookViewId="0">
      <pane ySplit="12" topLeftCell="A16" activePane="bottomLeft" state="frozen"/>
      <selection activeCell="B50" sqref="B50"/>
      <selection pane="bottomLeft" activeCell="B17" sqref="B17"/>
    </sheetView>
  </sheetViews>
  <sheetFormatPr baseColWidth="10" defaultColWidth="11" defaultRowHeight="15"/>
  <cols>
    <col min="1" max="1" width="11.7109375" style="27" customWidth="1"/>
    <col min="2" max="2" width="63" style="27" customWidth="1"/>
    <col min="3" max="6" width="27.5703125" style="27" customWidth="1"/>
    <col min="7" max="10" width="23.42578125" style="27" customWidth="1"/>
    <col min="11" max="11" width="21.42578125" style="27" customWidth="1"/>
    <col min="12" max="12" width="22.5703125" style="27" bestFit="1" customWidth="1"/>
    <col min="13" max="16384" width="11" style="27"/>
  </cols>
  <sheetData>
    <row r="2" spans="1:13" ht="15.7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3" ht="15.75">
      <c r="A3" s="1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3" ht="15.7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3" ht="15.75">
      <c r="A5" s="66" t="s">
        <v>2</v>
      </c>
      <c r="B5" s="66"/>
      <c r="C5" s="66"/>
      <c r="D5" s="66"/>
      <c r="E5" s="66"/>
      <c r="F5" s="66"/>
      <c r="G5" s="66"/>
      <c r="H5" s="66"/>
      <c r="I5" s="66"/>
      <c r="J5" s="66"/>
      <c r="K5" s="66"/>
    </row>
    <row r="6" spans="1:13">
      <c r="A6" s="67" t="s">
        <v>62</v>
      </c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3" ht="15.75">
      <c r="A7" s="6" t="s">
        <v>3</v>
      </c>
      <c r="B7" s="6"/>
      <c r="C7" s="5"/>
      <c r="D7" s="5"/>
      <c r="E7" s="5"/>
      <c r="F7" s="5"/>
      <c r="G7" s="5"/>
      <c r="H7" s="5"/>
      <c r="I7" s="72" t="s">
        <v>95</v>
      </c>
      <c r="J7" s="72"/>
      <c r="K7" s="72"/>
    </row>
    <row r="9" spans="1:13" ht="15.75">
      <c r="A9" s="68" t="s">
        <v>4</v>
      </c>
      <c r="B9" s="68"/>
      <c r="C9" s="69" t="s">
        <v>5</v>
      </c>
      <c r="D9" s="71" t="s">
        <v>6</v>
      </c>
      <c r="E9" s="71"/>
      <c r="F9" s="71"/>
      <c r="G9" s="71"/>
      <c r="H9" s="71"/>
      <c r="I9" s="71"/>
      <c r="J9" s="71"/>
      <c r="K9" s="71"/>
    </row>
    <row r="10" spans="1:13">
      <c r="A10" s="68"/>
      <c r="B10" s="68"/>
      <c r="C10" s="70"/>
      <c r="D10" s="69" t="s">
        <v>7</v>
      </c>
      <c r="E10" s="71" t="s">
        <v>8</v>
      </c>
      <c r="F10" s="71"/>
      <c r="G10" s="71" t="s">
        <v>9</v>
      </c>
      <c r="H10" s="71"/>
      <c r="I10" s="71"/>
      <c r="J10" s="71"/>
      <c r="K10" s="69" t="s">
        <v>10</v>
      </c>
    </row>
    <row r="11" spans="1:13">
      <c r="A11" s="68"/>
      <c r="B11" s="68"/>
      <c r="C11" s="70"/>
      <c r="D11" s="69"/>
      <c r="E11" s="71"/>
      <c r="F11" s="71"/>
      <c r="G11" s="71"/>
      <c r="H11" s="71"/>
      <c r="I11" s="71"/>
      <c r="J11" s="71"/>
      <c r="K11" s="69"/>
    </row>
    <row r="12" spans="1:13">
      <c r="A12" s="69" t="s">
        <v>11</v>
      </c>
      <c r="B12" s="69" t="s">
        <v>12</v>
      </c>
      <c r="C12" s="70" t="s">
        <v>13</v>
      </c>
      <c r="D12" s="69"/>
      <c r="E12" s="69" t="s">
        <v>14</v>
      </c>
      <c r="F12" s="69" t="s">
        <v>15</v>
      </c>
      <c r="G12" s="69" t="s">
        <v>16</v>
      </c>
      <c r="H12" s="69" t="s">
        <v>17</v>
      </c>
      <c r="I12" s="69" t="s">
        <v>18</v>
      </c>
      <c r="J12" s="69" t="s">
        <v>19</v>
      </c>
      <c r="K12" s="69"/>
    </row>
    <row r="13" spans="1:13">
      <c r="A13" s="69"/>
      <c r="B13" s="69"/>
      <c r="C13" s="70"/>
      <c r="D13" s="70" t="s">
        <v>20</v>
      </c>
      <c r="E13" s="69"/>
      <c r="F13" s="69"/>
      <c r="G13" s="69"/>
      <c r="H13" s="69"/>
      <c r="I13" s="69"/>
      <c r="J13" s="69"/>
      <c r="K13" s="70" t="s">
        <v>21</v>
      </c>
    </row>
    <row r="14" spans="1:13" ht="15.75">
      <c r="A14" s="69"/>
      <c r="B14" s="69"/>
      <c r="C14" s="70"/>
      <c r="D14" s="70"/>
      <c r="E14" s="69"/>
      <c r="F14" s="69"/>
      <c r="G14" s="7" t="s">
        <v>22</v>
      </c>
      <c r="H14" s="7" t="s">
        <v>23</v>
      </c>
      <c r="I14" s="7" t="s">
        <v>24</v>
      </c>
      <c r="J14" s="7" t="s">
        <v>25</v>
      </c>
      <c r="K14" s="70"/>
      <c r="L14" s="6"/>
      <c r="M14" s="6"/>
    </row>
    <row r="15" spans="1:13" ht="15.75">
      <c r="A15" s="69"/>
      <c r="B15" s="69"/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34</v>
      </c>
      <c r="L15" s="6"/>
      <c r="M15" s="6"/>
    </row>
    <row r="16" spans="1:13" ht="36" customHeight="1">
      <c r="A16" s="68" t="s">
        <v>35</v>
      </c>
      <c r="B16" s="68"/>
      <c r="C16" s="58">
        <f t="shared" ref="C16:K16" si="0">SUM(C17:C17)</f>
        <v>0</v>
      </c>
      <c r="D16" s="58">
        <f t="shared" si="0"/>
        <v>0</v>
      </c>
      <c r="E16" s="58">
        <f t="shared" si="0"/>
        <v>0</v>
      </c>
      <c r="F16" s="58">
        <f t="shared" si="0"/>
        <v>0</v>
      </c>
      <c r="G16" s="58">
        <f t="shared" si="0"/>
        <v>0</v>
      </c>
      <c r="H16" s="58">
        <f t="shared" si="0"/>
        <v>0</v>
      </c>
      <c r="I16" s="58">
        <f t="shared" si="0"/>
        <v>0</v>
      </c>
      <c r="J16" s="58">
        <f t="shared" si="0"/>
        <v>0</v>
      </c>
      <c r="K16" s="58">
        <f t="shared" si="0"/>
        <v>0</v>
      </c>
      <c r="L16" s="3"/>
      <c r="M16" s="4"/>
    </row>
    <row r="17" spans="1:13" ht="32.25" customHeight="1">
      <c r="A17" s="7"/>
      <c r="B17" s="8"/>
      <c r="C17" s="59">
        <v>0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6"/>
      <c r="M17" s="6"/>
    </row>
    <row r="18" spans="1:13" ht="32.25" customHeight="1">
      <c r="A18" s="7"/>
      <c r="B18" s="8"/>
      <c r="C18" s="59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6"/>
      <c r="M18" s="6"/>
    </row>
    <row r="19" spans="1:13" ht="32.25" customHeight="1">
      <c r="A19" s="7"/>
      <c r="B19" s="8"/>
      <c r="C19" s="59">
        <v>0</v>
      </c>
      <c r="D19" s="59">
        <v>0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6"/>
      <c r="M19" s="6"/>
    </row>
    <row r="20" spans="1:13" ht="32.25" customHeight="1">
      <c r="A20" s="7"/>
      <c r="B20" s="8"/>
      <c r="C20" s="59">
        <v>0</v>
      </c>
      <c r="D20" s="59">
        <v>0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6"/>
      <c r="M20" s="6"/>
    </row>
    <row r="21" spans="1:13" ht="32.25" customHeight="1">
      <c r="A21" s="7"/>
      <c r="B21" s="8"/>
      <c r="C21" s="59">
        <v>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6"/>
      <c r="M21" s="6"/>
    </row>
    <row r="22" spans="1:13" ht="32.25" customHeight="1">
      <c r="A22" s="7"/>
      <c r="B22" s="8"/>
      <c r="C22" s="59">
        <v>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6"/>
      <c r="M22" s="6"/>
    </row>
    <row r="23" spans="1:13" ht="32.25" customHeight="1">
      <c r="A23" s="7"/>
      <c r="B23" s="8"/>
      <c r="C23" s="59">
        <v>0</v>
      </c>
      <c r="D23" s="59">
        <v>0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6"/>
      <c r="M23" s="6"/>
    </row>
    <row r="24" spans="1:13" ht="32.25" customHeight="1">
      <c r="A24" s="7"/>
      <c r="B24" s="8"/>
      <c r="C24" s="59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6"/>
      <c r="M24" s="6"/>
    </row>
    <row r="25" spans="1:13" ht="32.25" customHeight="1">
      <c r="A25" s="7"/>
      <c r="B25" s="8"/>
      <c r="C25" s="59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6"/>
      <c r="M25" s="6"/>
    </row>
    <row r="26" spans="1:13" ht="36" customHeight="1">
      <c r="A26" s="68" t="s">
        <v>64</v>
      </c>
      <c r="B26" s="68"/>
      <c r="C26" s="58">
        <f>SUM(C27:C27)</f>
        <v>0</v>
      </c>
      <c r="D26" s="58">
        <f t="shared" ref="D26:K26" si="1">SUM(D27:D27)</f>
        <v>0</v>
      </c>
      <c r="E26" s="58">
        <f t="shared" si="1"/>
        <v>0</v>
      </c>
      <c r="F26" s="58">
        <f t="shared" si="1"/>
        <v>0</v>
      </c>
      <c r="G26" s="58">
        <f t="shared" si="1"/>
        <v>0</v>
      </c>
      <c r="H26" s="58">
        <f t="shared" si="1"/>
        <v>0</v>
      </c>
      <c r="I26" s="58">
        <f t="shared" si="1"/>
        <v>0</v>
      </c>
      <c r="J26" s="58">
        <f t="shared" si="1"/>
        <v>0</v>
      </c>
      <c r="K26" s="58">
        <f t="shared" si="1"/>
        <v>0</v>
      </c>
      <c r="L26" s="3"/>
      <c r="M26" s="9"/>
    </row>
    <row r="27" spans="1:13" ht="32.25" customHeight="1">
      <c r="A27" s="7"/>
      <c r="B27" s="8"/>
      <c r="C27" s="59">
        <v>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9"/>
      <c r="M27" s="6"/>
    </row>
    <row r="28" spans="1:13" ht="32.25" customHeight="1">
      <c r="A28" s="7"/>
      <c r="B28" s="8"/>
      <c r="C28" s="59">
        <v>0</v>
      </c>
      <c r="D28" s="59">
        <v>0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9"/>
      <c r="M28" s="6"/>
    </row>
    <row r="29" spans="1:13" ht="32.25" customHeight="1">
      <c r="A29" s="7"/>
      <c r="B29" s="8"/>
      <c r="C29" s="59">
        <v>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59">
        <v>0</v>
      </c>
      <c r="K29" s="59">
        <v>0</v>
      </c>
      <c r="L29" s="9"/>
      <c r="M29" s="6"/>
    </row>
    <row r="30" spans="1:13" ht="32.25" customHeight="1">
      <c r="A30" s="7"/>
      <c r="B30" s="8"/>
      <c r="C30" s="59">
        <v>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v>0</v>
      </c>
      <c r="J30" s="59">
        <v>0</v>
      </c>
      <c r="K30" s="59">
        <v>0</v>
      </c>
      <c r="L30" s="9"/>
      <c r="M30" s="6"/>
    </row>
    <row r="31" spans="1:13" ht="32.25" customHeight="1">
      <c r="A31" s="7"/>
      <c r="B31" s="8"/>
      <c r="C31" s="59">
        <v>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0</v>
      </c>
      <c r="J31" s="59">
        <v>0</v>
      </c>
      <c r="K31" s="59">
        <v>0</v>
      </c>
      <c r="L31" s="9"/>
      <c r="M31" s="6"/>
    </row>
    <row r="32" spans="1:13" ht="32.25" customHeight="1">
      <c r="A32" s="7"/>
      <c r="B32" s="8"/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9"/>
      <c r="M32" s="6"/>
    </row>
    <row r="33" spans="1:13" ht="32.25" customHeight="1">
      <c r="A33" s="7"/>
      <c r="B33" s="8"/>
      <c r="C33" s="59">
        <v>0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59">
        <v>0</v>
      </c>
      <c r="J33" s="59">
        <v>0</v>
      </c>
      <c r="K33" s="59">
        <v>0</v>
      </c>
      <c r="L33" s="9"/>
      <c r="M33" s="6"/>
    </row>
    <row r="34" spans="1:13" ht="32.25" customHeight="1">
      <c r="A34" s="7"/>
      <c r="B34" s="8"/>
      <c r="C34" s="59"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0</v>
      </c>
      <c r="J34" s="59">
        <v>0</v>
      </c>
      <c r="K34" s="59">
        <v>0</v>
      </c>
      <c r="L34" s="9"/>
      <c r="M34" s="6"/>
    </row>
    <row r="35" spans="1:13" ht="36" customHeight="1">
      <c r="A35" s="68" t="s">
        <v>65</v>
      </c>
      <c r="B35" s="68"/>
      <c r="C35" s="58">
        <f t="shared" ref="C35" si="2">SUM(C36:C36)</f>
        <v>0</v>
      </c>
      <c r="D35" s="58">
        <f t="shared" ref="D35" si="3">SUM(D36:D36)</f>
        <v>0</v>
      </c>
      <c r="E35" s="58">
        <f t="shared" ref="E35" si="4">SUM(E36:E36)</f>
        <v>0</v>
      </c>
      <c r="F35" s="58">
        <f t="shared" ref="F35" si="5">SUM(F36:F36)</f>
        <v>0</v>
      </c>
      <c r="G35" s="58">
        <f t="shared" ref="G35" si="6">SUM(G36:G36)</f>
        <v>0</v>
      </c>
      <c r="H35" s="58">
        <f t="shared" ref="H35" si="7">SUM(H36:H36)</f>
        <v>0</v>
      </c>
      <c r="I35" s="58">
        <f t="shared" ref="I35" si="8">SUM(I36:I36)</f>
        <v>0</v>
      </c>
      <c r="J35" s="58">
        <f t="shared" ref="J35" si="9">SUM(J36:J36)</f>
        <v>0</v>
      </c>
      <c r="K35" s="58">
        <f t="shared" ref="K35" si="10">SUM(K36:K36)</f>
        <v>0</v>
      </c>
      <c r="L35" s="3"/>
      <c r="M35" s="9"/>
    </row>
    <row r="36" spans="1:13" ht="32.25" customHeight="1">
      <c r="A36" s="7"/>
      <c r="B36" s="8"/>
      <c r="C36" s="59">
        <v>0</v>
      </c>
      <c r="D36" s="59">
        <v>0</v>
      </c>
      <c r="E36" s="59">
        <v>0</v>
      </c>
      <c r="F36" s="59">
        <v>0</v>
      </c>
      <c r="G36" s="59">
        <v>0</v>
      </c>
      <c r="H36" s="59">
        <v>0</v>
      </c>
      <c r="I36" s="59">
        <v>0</v>
      </c>
      <c r="J36" s="59">
        <v>0</v>
      </c>
      <c r="K36" s="59">
        <v>0</v>
      </c>
      <c r="L36" s="6"/>
      <c r="M36" s="6"/>
    </row>
    <row r="37" spans="1:13" ht="32.25" customHeight="1">
      <c r="A37" s="7"/>
      <c r="B37" s="8"/>
      <c r="C37" s="59">
        <v>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v>0</v>
      </c>
      <c r="J37" s="59">
        <v>0</v>
      </c>
      <c r="K37" s="59">
        <v>0</v>
      </c>
      <c r="L37" s="6"/>
      <c r="M37" s="6"/>
    </row>
    <row r="38" spans="1:13" ht="32.25" customHeight="1">
      <c r="A38" s="7"/>
      <c r="B38" s="8"/>
      <c r="C38" s="59">
        <v>0</v>
      </c>
      <c r="D38" s="59">
        <v>0</v>
      </c>
      <c r="E38" s="59">
        <v>0</v>
      </c>
      <c r="F38" s="59">
        <v>0</v>
      </c>
      <c r="G38" s="59">
        <v>0</v>
      </c>
      <c r="H38" s="59">
        <v>0</v>
      </c>
      <c r="I38" s="59">
        <v>0</v>
      </c>
      <c r="J38" s="59">
        <v>0</v>
      </c>
      <c r="K38" s="59">
        <v>0</v>
      </c>
      <c r="L38" s="6"/>
      <c r="M38" s="6"/>
    </row>
    <row r="39" spans="1:13" ht="32.25" customHeight="1">
      <c r="A39" s="7"/>
      <c r="B39" s="8"/>
      <c r="C39" s="59">
        <v>0</v>
      </c>
      <c r="D39" s="59">
        <v>0</v>
      </c>
      <c r="E39" s="59">
        <v>0</v>
      </c>
      <c r="F39" s="59">
        <v>0</v>
      </c>
      <c r="G39" s="59">
        <v>0</v>
      </c>
      <c r="H39" s="59">
        <v>0</v>
      </c>
      <c r="I39" s="59">
        <v>0</v>
      </c>
      <c r="J39" s="59">
        <v>0</v>
      </c>
      <c r="K39" s="59">
        <v>0</v>
      </c>
      <c r="L39" s="6"/>
      <c r="M39" s="6"/>
    </row>
    <row r="40" spans="1:13" ht="32.25" customHeight="1">
      <c r="A40" s="7"/>
      <c r="B40" s="8"/>
      <c r="C40" s="59">
        <v>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v>0</v>
      </c>
      <c r="J40" s="59">
        <v>0</v>
      </c>
      <c r="K40" s="59">
        <v>0</v>
      </c>
      <c r="L40" s="6"/>
      <c r="M40" s="6"/>
    </row>
    <row r="41" spans="1:13" ht="32.25" customHeight="1">
      <c r="A41" s="7"/>
      <c r="B41" s="8"/>
      <c r="C41" s="59"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v>0</v>
      </c>
      <c r="J41" s="59">
        <v>0</v>
      </c>
      <c r="K41" s="59">
        <v>0</v>
      </c>
      <c r="L41" s="6"/>
      <c r="M41" s="6"/>
    </row>
    <row r="42" spans="1:13" ht="32.25" customHeight="1">
      <c r="A42" s="7"/>
      <c r="B42" s="8"/>
      <c r="C42" s="59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v>0</v>
      </c>
      <c r="J42" s="59">
        <v>0</v>
      </c>
      <c r="K42" s="59">
        <v>0</v>
      </c>
      <c r="L42" s="6"/>
      <c r="M42" s="6"/>
    </row>
    <row r="43" spans="1:13" ht="32.25" customHeight="1">
      <c r="A43" s="7"/>
      <c r="B43" s="8"/>
      <c r="C43" s="59">
        <v>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>
        <v>0</v>
      </c>
      <c r="J43" s="59">
        <v>0</v>
      </c>
      <c r="K43" s="59">
        <v>0</v>
      </c>
      <c r="L43" s="6"/>
      <c r="M43" s="6"/>
    </row>
    <row r="44" spans="1:13" ht="36" customHeight="1">
      <c r="A44" s="74" t="s">
        <v>36</v>
      </c>
      <c r="B44" s="74"/>
      <c r="C44" s="58">
        <f>C16+C26+C35</f>
        <v>0</v>
      </c>
      <c r="D44" s="58">
        <f t="shared" ref="D44:H44" si="11">D16+D26+D35</f>
        <v>0</v>
      </c>
      <c r="E44" s="58">
        <f t="shared" si="11"/>
        <v>0</v>
      </c>
      <c r="F44" s="58">
        <f t="shared" si="11"/>
        <v>0</v>
      </c>
      <c r="G44" s="58">
        <f t="shared" si="11"/>
        <v>0</v>
      </c>
      <c r="H44" s="58">
        <f t="shared" si="11"/>
        <v>0</v>
      </c>
      <c r="I44" s="58">
        <f>I16+I26+I35</f>
        <v>0</v>
      </c>
      <c r="J44" s="58">
        <f>J16+J26+J35</f>
        <v>0</v>
      </c>
      <c r="K44" s="58">
        <f>K16+K26+K35</f>
        <v>0</v>
      </c>
      <c r="L44" s="3"/>
      <c r="M44" s="10"/>
    </row>
    <row r="45" spans="1:13" ht="15.75">
      <c r="A45" s="11"/>
      <c r="B45" s="11"/>
      <c r="C45" s="33"/>
      <c r="D45" s="11"/>
      <c r="E45" s="11"/>
      <c r="F45" s="11"/>
      <c r="G45" s="11"/>
      <c r="H45" s="11"/>
      <c r="I45" s="11"/>
      <c r="J45" s="11"/>
      <c r="K45" s="12"/>
      <c r="L45" s="6"/>
      <c r="M45" s="6"/>
    </row>
    <row r="46" spans="1:13" ht="15.75">
      <c r="A46" s="5" t="s">
        <v>37</v>
      </c>
      <c r="B46" s="5"/>
      <c r="C46" s="5"/>
      <c r="D46" s="5"/>
      <c r="E46" s="5"/>
      <c r="F46" s="5"/>
      <c r="G46" s="5"/>
      <c r="H46" s="13" t="s">
        <v>38</v>
      </c>
      <c r="I46" s="75" t="s">
        <v>39</v>
      </c>
      <c r="J46" s="75"/>
      <c r="K46" s="75"/>
      <c r="L46" s="5"/>
      <c r="M46" s="5"/>
    </row>
    <row r="47" spans="1:13" ht="15.75">
      <c r="A47" s="5" t="s">
        <v>40</v>
      </c>
      <c r="B47" s="5"/>
      <c r="C47" s="5"/>
      <c r="D47" s="5"/>
      <c r="E47" s="5"/>
      <c r="F47" s="5"/>
      <c r="G47" s="5"/>
      <c r="H47" s="6"/>
      <c r="I47" s="75"/>
      <c r="J47" s="75"/>
      <c r="K47" s="75"/>
      <c r="L47" s="5"/>
      <c r="M47" s="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5.75">
      <c r="A49" s="5"/>
      <c r="B49" s="5" t="s">
        <v>66</v>
      </c>
      <c r="C49" s="14" t="s">
        <v>41</v>
      </c>
      <c r="D49" s="5" t="s">
        <v>42</v>
      </c>
      <c r="E49" s="5"/>
      <c r="F49" s="5"/>
      <c r="G49" s="15" t="s">
        <v>43</v>
      </c>
      <c r="H49" s="76" t="s">
        <v>44</v>
      </c>
      <c r="I49" s="76"/>
      <c r="J49" s="5" t="s">
        <v>45</v>
      </c>
      <c r="K49" s="5"/>
      <c r="L49" s="5"/>
      <c r="M49" s="5"/>
    </row>
    <row r="50" spans="1:13" ht="15.75">
      <c r="A50" s="6"/>
      <c r="B50" s="5"/>
      <c r="C50" s="11" t="s">
        <v>46</v>
      </c>
      <c r="D50" s="6"/>
      <c r="E50" s="5"/>
      <c r="F50" s="5"/>
      <c r="G50" s="5"/>
      <c r="H50" s="66" t="s">
        <v>46</v>
      </c>
      <c r="I50" s="66"/>
      <c r="J50" s="5"/>
      <c r="K50" s="5"/>
      <c r="L50" s="5"/>
      <c r="M50" s="5" t="s">
        <v>47</v>
      </c>
    </row>
    <row r="51" spans="1:13" ht="15.75">
      <c r="A51" s="16"/>
      <c r="B51" s="17"/>
      <c r="C51" s="18"/>
      <c r="D51" s="16"/>
      <c r="E51" s="17"/>
      <c r="F51" s="17"/>
      <c r="G51" s="17"/>
      <c r="H51" s="18"/>
      <c r="I51" s="17"/>
      <c r="J51" s="17"/>
      <c r="K51" s="17"/>
      <c r="L51" s="5"/>
      <c r="M51" s="5"/>
    </row>
    <row r="52" spans="1:13" ht="12.75" customHeight="1">
      <c r="A52" s="19"/>
      <c r="B52" s="20"/>
      <c r="C52" s="11"/>
      <c r="D52" s="11"/>
      <c r="E52" s="11"/>
      <c r="F52" s="11"/>
      <c r="G52" s="11"/>
      <c r="H52" s="11"/>
      <c r="I52" s="11"/>
      <c r="J52" s="11"/>
      <c r="K52" s="11"/>
      <c r="L52" s="19"/>
      <c r="M52" s="19"/>
    </row>
    <row r="53" spans="1:13" ht="12.75" customHeight="1">
      <c r="A53" s="21" t="s">
        <v>48</v>
      </c>
      <c r="B53" s="21"/>
      <c r="C53" s="6"/>
      <c r="D53" s="22"/>
      <c r="E53" s="22"/>
      <c r="F53" s="22"/>
      <c r="G53" s="22"/>
      <c r="H53" s="21"/>
      <c r="I53" s="23"/>
      <c r="J53" s="6"/>
      <c r="K53" s="6"/>
      <c r="L53" s="6"/>
      <c r="M53" s="6"/>
    </row>
    <row r="54" spans="1:13" ht="30">
      <c r="A54" s="21" t="s">
        <v>48</v>
      </c>
      <c r="B54" s="21"/>
      <c r="C54" s="24" t="s">
        <v>49</v>
      </c>
      <c r="D54" s="73" t="s">
        <v>50</v>
      </c>
      <c r="E54" s="73"/>
      <c r="F54" s="73"/>
      <c r="G54" s="73"/>
      <c r="H54" s="73"/>
      <c r="I54" s="73"/>
      <c r="J54" s="73"/>
      <c r="K54" s="73"/>
      <c r="L54" s="5"/>
      <c r="M54" s="5"/>
    </row>
    <row r="55" spans="1:13" ht="13.5" customHeight="1">
      <c r="A55" s="21" t="s">
        <v>48</v>
      </c>
      <c r="B55" s="15"/>
      <c r="C55" s="22"/>
      <c r="D55" s="22"/>
      <c r="E55" s="22"/>
      <c r="F55" s="22"/>
      <c r="G55" s="22"/>
      <c r="H55" s="13"/>
      <c r="I55" s="13"/>
      <c r="J55" s="15"/>
      <c r="K55" s="15"/>
      <c r="L55" s="15"/>
      <c r="M55" s="15"/>
    </row>
    <row r="56" spans="1:13" ht="31.5" customHeight="1" thickBot="1">
      <c r="A56" s="21" t="s">
        <v>48</v>
      </c>
      <c r="B56" s="77" t="s">
        <v>61</v>
      </c>
      <c r="C56" s="78"/>
      <c r="D56" s="78"/>
      <c r="E56" s="78"/>
      <c r="F56" s="79" t="s">
        <v>51</v>
      </c>
      <c r="G56" s="80"/>
      <c r="H56" s="80"/>
      <c r="I56" s="81"/>
      <c r="J56" s="15"/>
      <c r="K56" s="5"/>
      <c r="L56" s="5"/>
      <c r="M56" s="5"/>
    </row>
    <row r="57" spans="1:13" ht="30">
      <c r="A57" s="21" t="s">
        <v>48</v>
      </c>
      <c r="B57" s="82" t="s">
        <v>52</v>
      </c>
      <c r="C57" s="83"/>
      <c r="D57" s="59">
        <f>C44</f>
        <v>0</v>
      </c>
      <c r="E57" s="29">
        <v>1</v>
      </c>
      <c r="F57" s="84" t="s">
        <v>52</v>
      </c>
      <c r="G57" s="84"/>
      <c r="H57" s="59">
        <f>D57</f>
        <v>0</v>
      </c>
      <c r="I57" s="54">
        <v>1</v>
      </c>
      <c r="J57" s="15"/>
      <c r="K57" s="5"/>
      <c r="L57" s="5"/>
      <c r="M57" s="5"/>
    </row>
    <row r="58" spans="1:13" ht="30">
      <c r="A58" s="21" t="s">
        <v>48</v>
      </c>
      <c r="B58" s="85" t="s">
        <v>53</v>
      </c>
      <c r="C58" s="86"/>
      <c r="D58" s="59">
        <f>E44</f>
        <v>0</v>
      </c>
      <c r="E58" s="34" t="e">
        <f>D58/D57</f>
        <v>#DIV/0!</v>
      </c>
      <c r="F58" s="87" t="s">
        <v>54</v>
      </c>
      <c r="G58" s="87"/>
      <c r="H58" s="59">
        <f>D44+G44+H44+I44+J44+K44</f>
        <v>0</v>
      </c>
      <c r="I58" s="55" t="e">
        <f>H58/H57</f>
        <v>#DIV/0!</v>
      </c>
      <c r="J58" s="15"/>
      <c r="K58" s="5"/>
      <c r="L58" s="5"/>
      <c r="M58" s="5"/>
    </row>
    <row r="59" spans="1:13" ht="30.75" thickBot="1">
      <c r="A59" s="21" t="s">
        <v>48</v>
      </c>
      <c r="B59" s="85" t="s">
        <v>55</v>
      </c>
      <c r="C59" s="86"/>
      <c r="D59" s="59">
        <f>F44</f>
        <v>0</v>
      </c>
      <c r="E59" s="34" t="e">
        <f>D59/D57</f>
        <v>#DIV/0!</v>
      </c>
      <c r="F59" s="88" t="s">
        <v>56</v>
      </c>
      <c r="G59" s="88"/>
      <c r="H59" s="59">
        <f>D60</f>
        <v>0</v>
      </c>
      <c r="I59" s="56" t="e">
        <f>H59/H57</f>
        <v>#DIV/0!</v>
      </c>
      <c r="J59" s="15"/>
      <c r="K59" s="5"/>
      <c r="L59" s="5"/>
      <c r="M59" s="5"/>
    </row>
    <row r="60" spans="1:13" ht="24.75" customHeight="1" thickTop="1">
      <c r="A60" s="21" t="s">
        <v>48</v>
      </c>
      <c r="B60" s="89" t="s">
        <v>57</v>
      </c>
      <c r="C60" s="90"/>
      <c r="D60" s="60">
        <f>E44+F44</f>
        <v>0</v>
      </c>
      <c r="E60" s="91" t="e">
        <f>D60/D57</f>
        <v>#DIV/0!</v>
      </c>
      <c r="F60" s="88" t="s">
        <v>58</v>
      </c>
      <c r="G60" s="88"/>
      <c r="H60" s="103">
        <f>H59+H58</f>
        <v>0</v>
      </c>
      <c r="I60" s="95" t="e">
        <f>H60/H57</f>
        <v>#DIV/0!</v>
      </c>
      <c r="J60" s="15"/>
      <c r="K60" s="5"/>
      <c r="L60" s="5"/>
      <c r="M60" s="5"/>
    </row>
    <row r="61" spans="1:13" ht="24.75" customHeight="1">
      <c r="A61" s="21" t="s">
        <v>48</v>
      </c>
      <c r="B61" s="85" t="s">
        <v>59</v>
      </c>
      <c r="C61" s="86"/>
      <c r="D61" s="86"/>
      <c r="E61" s="92"/>
      <c r="F61" s="88"/>
      <c r="G61" s="88"/>
      <c r="H61" s="104"/>
      <c r="I61" s="96"/>
      <c r="J61" s="15"/>
      <c r="K61" s="5"/>
      <c r="L61" s="5"/>
      <c r="M61" s="5"/>
    </row>
    <row r="62" spans="1:13" ht="24.75" customHeight="1">
      <c r="A62" s="21" t="s">
        <v>48</v>
      </c>
      <c r="B62" s="98"/>
      <c r="C62" s="99"/>
      <c r="D62" s="99"/>
      <c r="E62" s="93"/>
      <c r="F62" s="94"/>
      <c r="G62" s="94"/>
      <c r="H62" s="105"/>
      <c r="I62" s="97"/>
      <c r="J62" s="15"/>
    </row>
    <row r="63" spans="1:13" ht="24.75" hidden="1" customHeight="1">
      <c r="A63" s="21" t="s">
        <v>48</v>
      </c>
      <c r="B63" s="100" t="s">
        <v>60</v>
      </c>
      <c r="C63" s="90"/>
      <c r="D63" s="30">
        <f>D57*30%</f>
        <v>0</v>
      </c>
      <c r="E63" s="34" t="e">
        <f>D63/D57</f>
        <v>#DIV/0!</v>
      </c>
      <c r="F63" s="25"/>
      <c r="G63" s="51"/>
      <c r="H63" s="51"/>
      <c r="I63" s="53"/>
      <c r="J63" s="15"/>
    </row>
    <row r="64" spans="1:13" ht="24.75" hidden="1" customHeight="1">
      <c r="A64" s="21" t="s">
        <v>48</v>
      </c>
      <c r="B64" s="100" t="s">
        <v>56</v>
      </c>
      <c r="C64" s="90"/>
      <c r="D64" s="30">
        <f>D60</f>
        <v>0</v>
      </c>
      <c r="E64" s="41" t="e">
        <f>D64/D57</f>
        <v>#DIV/0!</v>
      </c>
      <c r="F64" s="25"/>
      <c r="G64" s="5"/>
      <c r="H64" s="5"/>
      <c r="I64" s="26"/>
      <c r="J64" s="15"/>
    </row>
    <row r="65" spans="1:10" ht="24.75" hidden="1" customHeight="1" thickBot="1">
      <c r="A65" s="21" t="s">
        <v>48</v>
      </c>
      <c r="B65" s="101" t="s">
        <v>63</v>
      </c>
      <c r="C65" s="102"/>
      <c r="D65" s="36">
        <f>D63-D64</f>
        <v>0</v>
      </c>
      <c r="E65" s="35" t="e">
        <f>D65/D57</f>
        <v>#DIV/0!</v>
      </c>
      <c r="F65" s="37"/>
      <c r="G65" s="38"/>
      <c r="H65" s="39"/>
      <c r="I65" s="40"/>
      <c r="J65" s="15"/>
    </row>
    <row r="66" spans="1:10" ht="30">
      <c r="A66" s="21" t="s">
        <v>48</v>
      </c>
      <c r="B66" s="5"/>
      <c r="C66" s="5"/>
      <c r="D66" s="5"/>
      <c r="E66" s="5"/>
      <c r="F66" s="5"/>
      <c r="G66" s="5"/>
      <c r="H66" s="5"/>
      <c r="I66" s="5"/>
      <c r="J66" s="1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15"/>
    </row>
  </sheetData>
  <mergeCells count="47">
    <mergeCell ref="I60:I62"/>
    <mergeCell ref="B61:D62"/>
    <mergeCell ref="B63:C63"/>
    <mergeCell ref="B64:C64"/>
    <mergeCell ref="B65:C65"/>
    <mergeCell ref="H60:H62"/>
    <mergeCell ref="B59:C59"/>
    <mergeCell ref="F59:G59"/>
    <mergeCell ref="B60:C60"/>
    <mergeCell ref="E60:E62"/>
    <mergeCell ref="F60:G62"/>
    <mergeCell ref="B56:E56"/>
    <mergeCell ref="F56:I56"/>
    <mergeCell ref="B57:C57"/>
    <mergeCell ref="F57:G57"/>
    <mergeCell ref="B58:C58"/>
    <mergeCell ref="F58:G58"/>
    <mergeCell ref="A35:B35"/>
    <mergeCell ref="A44:B44"/>
    <mergeCell ref="I46:K47"/>
    <mergeCell ref="H49:I49"/>
    <mergeCell ref="H50:I50"/>
    <mergeCell ref="D54:K54"/>
    <mergeCell ref="I12:I13"/>
    <mergeCell ref="J12:J13"/>
    <mergeCell ref="D13:D14"/>
    <mergeCell ref="K13:K14"/>
    <mergeCell ref="F12:F14"/>
    <mergeCell ref="G12:G13"/>
    <mergeCell ref="H12:H13"/>
    <mergeCell ref="A16:B16"/>
    <mergeCell ref="A26:B26"/>
    <mergeCell ref="B12:B15"/>
    <mergeCell ref="C12:C14"/>
    <mergeCell ref="E12:E14"/>
    <mergeCell ref="A2:K2"/>
    <mergeCell ref="A6:K6"/>
    <mergeCell ref="A9:B11"/>
    <mergeCell ref="C9:C11"/>
    <mergeCell ref="D9:K9"/>
    <mergeCell ref="D10:D12"/>
    <mergeCell ref="E10:F11"/>
    <mergeCell ref="G10:J11"/>
    <mergeCell ref="K10:K12"/>
    <mergeCell ref="A12:A15"/>
    <mergeCell ref="I7:K7"/>
    <mergeCell ref="A5:K5"/>
  </mergeCells>
  <pageMargins left="0.25" right="0.25" top="0.75" bottom="0.75" header="0.3" footer="0.3"/>
  <pageSetup scale="45" fitToHeight="0" orientation="landscape" r:id="rId1"/>
  <headerFooter>
    <oddHeader>&amp;C&amp;"Calibri"&amp;10&amp;K000000 Información Confidencial&amp;1#_x000D_</oddHeader>
    <oddFooter>&amp;C_x000D_&amp;1#&amp;"Calibri"&amp;10&amp;K000000 Información Confidencial</oddFooter>
  </headerFooter>
  <rowBreaks count="1" manualBreakCount="1">
    <brk id="44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theme="3" tint="0.39997558519241921"/>
    <pageSetUpPr fitToPage="1"/>
  </sheetPr>
  <dimension ref="A2:M67"/>
  <sheetViews>
    <sheetView topLeftCell="A4" zoomScale="75" zoomScaleNormal="75" zoomScaleSheetLayoutView="55" workbookViewId="0">
      <pane ySplit="12" topLeftCell="A43" activePane="bottomLeft" state="frozen"/>
      <selection activeCell="B83" sqref="B83"/>
      <selection pane="bottomLeft" activeCell="I8" sqref="I8"/>
    </sheetView>
  </sheetViews>
  <sheetFormatPr baseColWidth="10" defaultColWidth="11" defaultRowHeight="15"/>
  <cols>
    <col min="1" max="1" width="11.7109375" style="27" customWidth="1"/>
    <col min="2" max="2" width="63" style="27" customWidth="1"/>
    <col min="3" max="6" width="27.5703125" style="27" customWidth="1"/>
    <col min="7" max="10" width="23.42578125" style="27" customWidth="1"/>
    <col min="11" max="11" width="21.42578125" style="27" customWidth="1"/>
    <col min="12" max="12" width="15.85546875" style="27" bestFit="1" customWidth="1"/>
    <col min="13" max="13" width="13.140625" style="27" bestFit="1" customWidth="1"/>
    <col min="14" max="16384" width="11" style="27"/>
  </cols>
  <sheetData>
    <row r="2" spans="1:13" ht="15.75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3" ht="15.75">
      <c r="A3" s="1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3" ht="15.7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3" ht="15.7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3">
      <c r="A6" s="67" t="s">
        <v>76</v>
      </c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3" ht="15.75">
      <c r="A7" s="6" t="s">
        <v>3</v>
      </c>
      <c r="B7" s="6"/>
      <c r="C7" s="5"/>
      <c r="D7" s="5"/>
      <c r="E7" s="5"/>
      <c r="F7" s="5"/>
      <c r="G7" s="5"/>
      <c r="H7" s="5"/>
      <c r="I7" s="72" t="str">
        <f>'30_70 (Miles)'!I7:K7</f>
        <v>Periodo: del 01 de enero al 31 de marzo 2020</v>
      </c>
      <c r="J7" s="72"/>
      <c r="K7" s="72"/>
    </row>
    <row r="9" spans="1:13" ht="15.75" customHeight="1">
      <c r="A9" s="68" t="s">
        <v>4</v>
      </c>
      <c r="B9" s="68"/>
      <c r="C9" s="69" t="s">
        <v>5</v>
      </c>
      <c r="D9" s="71" t="s">
        <v>6</v>
      </c>
      <c r="E9" s="71"/>
      <c r="F9" s="71"/>
      <c r="G9" s="71"/>
      <c r="H9" s="71"/>
      <c r="I9" s="71"/>
      <c r="J9" s="71"/>
      <c r="K9" s="71"/>
    </row>
    <row r="10" spans="1:13">
      <c r="A10" s="68"/>
      <c r="B10" s="68"/>
      <c r="C10" s="70"/>
      <c r="D10" s="69" t="s">
        <v>7</v>
      </c>
      <c r="E10" s="71" t="s">
        <v>8</v>
      </c>
      <c r="F10" s="71"/>
      <c r="G10" s="71" t="s">
        <v>9</v>
      </c>
      <c r="H10" s="71"/>
      <c r="I10" s="71"/>
      <c r="J10" s="71"/>
      <c r="K10" s="69" t="s">
        <v>10</v>
      </c>
    </row>
    <row r="11" spans="1:13">
      <c r="A11" s="68"/>
      <c r="B11" s="68"/>
      <c r="C11" s="70"/>
      <c r="D11" s="69"/>
      <c r="E11" s="71"/>
      <c r="F11" s="71"/>
      <c r="G11" s="71"/>
      <c r="H11" s="71"/>
      <c r="I11" s="71"/>
      <c r="J11" s="71"/>
      <c r="K11" s="69"/>
    </row>
    <row r="12" spans="1:13" ht="15" customHeight="1">
      <c r="A12" s="69" t="s">
        <v>11</v>
      </c>
      <c r="B12" s="69" t="s">
        <v>12</v>
      </c>
      <c r="C12" s="70" t="s">
        <v>13</v>
      </c>
      <c r="D12" s="69"/>
      <c r="E12" s="69" t="s">
        <v>14</v>
      </c>
      <c r="F12" s="69" t="s">
        <v>15</v>
      </c>
      <c r="G12" s="69" t="s">
        <v>16</v>
      </c>
      <c r="H12" s="69" t="s">
        <v>17</v>
      </c>
      <c r="I12" s="69" t="s">
        <v>18</v>
      </c>
      <c r="J12" s="69" t="s">
        <v>19</v>
      </c>
      <c r="K12" s="69"/>
    </row>
    <row r="13" spans="1:13">
      <c r="A13" s="69"/>
      <c r="B13" s="69"/>
      <c r="C13" s="70"/>
      <c r="D13" s="70" t="s">
        <v>20</v>
      </c>
      <c r="E13" s="69"/>
      <c r="F13" s="69"/>
      <c r="G13" s="69"/>
      <c r="H13" s="69"/>
      <c r="I13" s="69"/>
      <c r="J13" s="69"/>
      <c r="K13" s="70" t="s">
        <v>21</v>
      </c>
    </row>
    <row r="14" spans="1:13">
      <c r="A14" s="69"/>
      <c r="B14" s="69"/>
      <c r="C14" s="70"/>
      <c r="D14" s="70"/>
      <c r="E14" s="69"/>
      <c r="F14" s="69"/>
      <c r="G14" s="7" t="s">
        <v>22</v>
      </c>
      <c r="H14" s="7" t="s">
        <v>23</v>
      </c>
      <c r="I14" s="7" t="s">
        <v>24</v>
      </c>
      <c r="J14" s="7" t="s">
        <v>25</v>
      </c>
      <c r="K14" s="70"/>
    </row>
    <row r="15" spans="1:13" ht="15.75">
      <c r="A15" s="69"/>
      <c r="B15" s="69"/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31</v>
      </c>
      <c r="I15" s="2" t="s">
        <v>32</v>
      </c>
      <c r="J15" s="2" t="s">
        <v>33</v>
      </c>
      <c r="K15" s="2" t="s">
        <v>34</v>
      </c>
    </row>
    <row r="16" spans="1:13" ht="36" customHeight="1">
      <c r="A16" s="68" t="s">
        <v>35</v>
      </c>
      <c r="B16" s="68"/>
      <c r="C16" s="58">
        <f>'30_70 (Miles)'!C16/1000</f>
        <v>0</v>
      </c>
      <c r="D16" s="58">
        <f>'30_70 (Miles)'!D16/1000</f>
        <v>0</v>
      </c>
      <c r="E16" s="58">
        <f>'30_70 (Miles)'!E16/1000</f>
        <v>0</v>
      </c>
      <c r="F16" s="58">
        <f>'30_70 (Miles)'!F16/1000</f>
        <v>0</v>
      </c>
      <c r="G16" s="58">
        <f>'30_70 (Miles)'!G16/1000</f>
        <v>0</v>
      </c>
      <c r="H16" s="58">
        <f>'30_70 (Miles)'!H16/1000</f>
        <v>0</v>
      </c>
      <c r="I16" s="58">
        <f>'30_70 (Miles)'!I16/1000</f>
        <v>0</v>
      </c>
      <c r="J16" s="58">
        <f>'30_70 (Miles)'!J16/1000</f>
        <v>0</v>
      </c>
      <c r="K16" s="58">
        <f>'30_70 (Miles)'!K16/1000</f>
        <v>0</v>
      </c>
      <c r="L16" s="3"/>
      <c r="M16" s="4"/>
    </row>
    <row r="17" spans="1:13" ht="32.25" customHeight="1">
      <c r="A17" s="7">
        <f>'30_70 (Miles)'!A17</f>
        <v>0</v>
      </c>
      <c r="B17" s="7">
        <f>'30_70 (Miles)'!B17</f>
        <v>0</v>
      </c>
      <c r="C17" s="59">
        <f>'30_70 (Miles)'!C17/1000</f>
        <v>0</v>
      </c>
      <c r="D17" s="59">
        <f>'30_70 (Miles)'!D17/1000</f>
        <v>0</v>
      </c>
      <c r="E17" s="59">
        <f>'30_70 (Miles)'!E17/1000</f>
        <v>0</v>
      </c>
      <c r="F17" s="59">
        <f>'30_70 (Miles)'!F17/1000</f>
        <v>0</v>
      </c>
      <c r="G17" s="59">
        <f>'30_70 (Miles)'!G17/1000</f>
        <v>0</v>
      </c>
      <c r="H17" s="59">
        <f>'30_70 (Miles)'!H17/1000</f>
        <v>0</v>
      </c>
      <c r="I17" s="59">
        <f>'30_70 (Miles)'!I17/1000</f>
        <v>0</v>
      </c>
      <c r="J17" s="59">
        <f>'30_70 (Miles)'!J17/1000</f>
        <v>0</v>
      </c>
      <c r="K17" s="59">
        <f>'30_70 (Miles)'!K17/1000</f>
        <v>0</v>
      </c>
      <c r="L17" s="6"/>
      <c r="M17" s="6"/>
    </row>
    <row r="18" spans="1:13" ht="32.25" customHeight="1">
      <c r="A18" s="7">
        <f>'30_70 (Miles)'!A18</f>
        <v>0</v>
      </c>
      <c r="B18" s="7">
        <f>'30_70 (Miles)'!B18</f>
        <v>0</v>
      </c>
      <c r="C18" s="59">
        <f>'30_70 (Miles)'!C18/1000</f>
        <v>0</v>
      </c>
      <c r="D18" s="59">
        <f>'30_70 (Miles)'!D18/1000</f>
        <v>0</v>
      </c>
      <c r="E18" s="59">
        <f>'30_70 (Miles)'!E18/1000</f>
        <v>0</v>
      </c>
      <c r="F18" s="59">
        <f>'30_70 (Miles)'!F18/1000</f>
        <v>0</v>
      </c>
      <c r="G18" s="59">
        <f>'30_70 (Miles)'!G18/1000</f>
        <v>0</v>
      </c>
      <c r="H18" s="59">
        <f>'30_70 (Miles)'!H18/1000</f>
        <v>0</v>
      </c>
      <c r="I18" s="59">
        <f>'30_70 (Miles)'!I18/1000</f>
        <v>0</v>
      </c>
      <c r="J18" s="59">
        <f>'30_70 (Miles)'!J18/1000</f>
        <v>0</v>
      </c>
      <c r="K18" s="59">
        <f>'30_70 (Miles)'!K18/1000</f>
        <v>0</v>
      </c>
      <c r="L18" s="6"/>
      <c r="M18" s="6"/>
    </row>
    <row r="19" spans="1:13" ht="32.25" customHeight="1">
      <c r="A19" s="7">
        <f>'30_70 (Miles)'!A19</f>
        <v>0</v>
      </c>
      <c r="B19" s="7">
        <f>'30_70 (Miles)'!B19</f>
        <v>0</v>
      </c>
      <c r="C19" s="59">
        <f>'30_70 (Miles)'!C19/1000</f>
        <v>0</v>
      </c>
      <c r="D19" s="59">
        <f>'30_70 (Miles)'!D19/1000</f>
        <v>0</v>
      </c>
      <c r="E19" s="59">
        <f>'30_70 (Miles)'!E19/1000</f>
        <v>0</v>
      </c>
      <c r="F19" s="59">
        <f>'30_70 (Miles)'!F19/1000</f>
        <v>0</v>
      </c>
      <c r="G19" s="59">
        <f>'30_70 (Miles)'!G19/1000</f>
        <v>0</v>
      </c>
      <c r="H19" s="59">
        <f>'30_70 (Miles)'!H19/1000</f>
        <v>0</v>
      </c>
      <c r="I19" s="59">
        <f>'30_70 (Miles)'!I19/1000</f>
        <v>0</v>
      </c>
      <c r="J19" s="59">
        <f>'30_70 (Miles)'!J19/1000</f>
        <v>0</v>
      </c>
      <c r="K19" s="59">
        <f>'30_70 (Miles)'!K19/1000</f>
        <v>0</v>
      </c>
      <c r="L19" s="6"/>
      <c r="M19" s="6"/>
    </row>
    <row r="20" spans="1:13" ht="32.25" customHeight="1">
      <c r="A20" s="7">
        <f>'30_70 (Miles)'!A20</f>
        <v>0</v>
      </c>
      <c r="B20" s="7">
        <f>'30_70 (Miles)'!B20</f>
        <v>0</v>
      </c>
      <c r="C20" s="59">
        <f>'30_70 (Miles)'!C20/1000</f>
        <v>0</v>
      </c>
      <c r="D20" s="59">
        <f>'30_70 (Miles)'!D20/1000</f>
        <v>0</v>
      </c>
      <c r="E20" s="59">
        <f>'30_70 (Miles)'!E20/1000</f>
        <v>0</v>
      </c>
      <c r="F20" s="59">
        <f>'30_70 (Miles)'!F20/1000</f>
        <v>0</v>
      </c>
      <c r="G20" s="59">
        <f>'30_70 (Miles)'!G20/1000</f>
        <v>0</v>
      </c>
      <c r="H20" s="59">
        <f>'30_70 (Miles)'!H20/1000</f>
        <v>0</v>
      </c>
      <c r="I20" s="59">
        <f>'30_70 (Miles)'!I20/1000</f>
        <v>0</v>
      </c>
      <c r="J20" s="59">
        <f>'30_70 (Miles)'!J20/1000</f>
        <v>0</v>
      </c>
      <c r="K20" s="59">
        <f>'30_70 (Miles)'!K20/1000</f>
        <v>0</v>
      </c>
      <c r="L20" s="6"/>
      <c r="M20" s="6"/>
    </row>
    <row r="21" spans="1:13" ht="32.25" customHeight="1">
      <c r="A21" s="7">
        <f>'30_70 (Miles)'!A21</f>
        <v>0</v>
      </c>
      <c r="B21" s="7">
        <f>'30_70 (Miles)'!B21</f>
        <v>0</v>
      </c>
      <c r="C21" s="59">
        <f>'30_70 (Miles)'!C21/1000</f>
        <v>0</v>
      </c>
      <c r="D21" s="59">
        <f>'30_70 (Miles)'!D21/1000</f>
        <v>0</v>
      </c>
      <c r="E21" s="59">
        <f>'30_70 (Miles)'!E21/1000</f>
        <v>0</v>
      </c>
      <c r="F21" s="59">
        <f>'30_70 (Miles)'!F21/1000</f>
        <v>0</v>
      </c>
      <c r="G21" s="59">
        <f>'30_70 (Miles)'!G21/1000</f>
        <v>0</v>
      </c>
      <c r="H21" s="59">
        <f>'30_70 (Miles)'!H21/1000</f>
        <v>0</v>
      </c>
      <c r="I21" s="59">
        <f>'30_70 (Miles)'!I21/1000</f>
        <v>0</v>
      </c>
      <c r="J21" s="59">
        <f>'30_70 (Miles)'!J21/1000</f>
        <v>0</v>
      </c>
      <c r="K21" s="59">
        <f>'30_70 (Miles)'!K21/1000</f>
        <v>0</v>
      </c>
      <c r="L21" s="6"/>
      <c r="M21" s="6"/>
    </row>
    <row r="22" spans="1:13" ht="32.25" customHeight="1">
      <c r="A22" s="7">
        <f>'30_70 (Miles)'!A22</f>
        <v>0</v>
      </c>
      <c r="B22" s="7">
        <f>'30_70 (Miles)'!B22</f>
        <v>0</v>
      </c>
      <c r="C22" s="59">
        <f>'30_70 (Miles)'!C22/1000</f>
        <v>0</v>
      </c>
      <c r="D22" s="59">
        <f>'30_70 (Miles)'!D22/1000</f>
        <v>0</v>
      </c>
      <c r="E22" s="59">
        <f>'30_70 (Miles)'!E22/1000</f>
        <v>0</v>
      </c>
      <c r="F22" s="59">
        <f>'30_70 (Miles)'!F22/1000</f>
        <v>0</v>
      </c>
      <c r="G22" s="59">
        <f>'30_70 (Miles)'!G22/1000</f>
        <v>0</v>
      </c>
      <c r="H22" s="59">
        <f>'30_70 (Miles)'!H22/1000</f>
        <v>0</v>
      </c>
      <c r="I22" s="59">
        <f>'30_70 (Miles)'!I22/1000</f>
        <v>0</v>
      </c>
      <c r="J22" s="59">
        <f>'30_70 (Miles)'!J22/1000</f>
        <v>0</v>
      </c>
      <c r="K22" s="59">
        <f>'30_70 (Miles)'!K22/1000</f>
        <v>0</v>
      </c>
      <c r="L22" s="6"/>
      <c r="M22" s="6"/>
    </row>
    <row r="23" spans="1:13" ht="32.25" customHeight="1">
      <c r="A23" s="7">
        <f>'30_70 (Miles)'!A23</f>
        <v>0</v>
      </c>
      <c r="B23" s="7">
        <f>'30_70 (Miles)'!B23</f>
        <v>0</v>
      </c>
      <c r="C23" s="59">
        <f>'30_70 (Miles)'!C23/1000</f>
        <v>0</v>
      </c>
      <c r="D23" s="59">
        <f>'30_70 (Miles)'!D23/1000</f>
        <v>0</v>
      </c>
      <c r="E23" s="59">
        <f>'30_70 (Miles)'!E23/1000</f>
        <v>0</v>
      </c>
      <c r="F23" s="59">
        <f>'30_70 (Miles)'!F23/1000</f>
        <v>0</v>
      </c>
      <c r="G23" s="59">
        <f>'30_70 (Miles)'!G23/1000</f>
        <v>0</v>
      </c>
      <c r="H23" s="59">
        <f>'30_70 (Miles)'!H23/1000</f>
        <v>0</v>
      </c>
      <c r="I23" s="59">
        <f>'30_70 (Miles)'!I23/1000</f>
        <v>0</v>
      </c>
      <c r="J23" s="59">
        <f>'30_70 (Miles)'!J23/1000</f>
        <v>0</v>
      </c>
      <c r="K23" s="59">
        <f>'30_70 (Miles)'!K23/1000</f>
        <v>0</v>
      </c>
      <c r="L23" s="6"/>
      <c r="M23" s="6"/>
    </row>
    <row r="24" spans="1:13" ht="32.25" customHeight="1">
      <c r="A24" s="7">
        <f>'30_70 (Miles)'!A24</f>
        <v>0</v>
      </c>
      <c r="B24" s="7">
        <f>'30_70 (Miles)'!B24</f>
        <v>0</v>
      </c>
      <c r="C24" s="59">
        <f>'30_70 (Miles)'!C24/1000</f>
        <v>0</v>
      </c>
      <c r="D24" s="59">
        <f>'30_70 (Miles)'!D24/1000</f>
        <v>0</v>
      </c>
      <c r="E24" s="59">
        <f>'30_70 (Miles)'!E24/1000</f>
        <v>0</v>
      </c>
      <c r="F24" s="59">
        <f>'30_70 (Miles)'!F24/1000</f>
        <v>0</v>
      </c>
      <c r="G24" s="59">
        <f>'30_70 (Miles)'!G24/1000</f>
        <v>0</v>
      </c>
      <c r="H24" s="59">
        <f>'30_70 (Miles)'!H24/1000</f>
        <v>0</v>
      </c>
      <c r="I24" s="59">
        <f>'30_70 (Miles)'!I24/1000</f>
        <v>0</v>
      </c>
      <c r="J24" s="59">
        <f>'30_70 (Miles)'!J24/1000</f>
        <v>0</v>
      </c>
      <c r="K24" s="59">
        <f>'30_70 (Miles)'!K24/1000</f>
        <v>0</v>
      </c>
      <c r="L24" s="6"/>
      <c r="M24" s="6"/>
    </row>
    <row r="25" spans="1:13" ht="32.25" customHeight="1">
      <c r="A25" s="7">
        <f>'30_70 (Miles)'!A25</f>
        <v>0</v>
      </c>
      <c r="B25" s="7">
        <f>'30_70 (Miles)'!B25</f>
        <v>0</v>
      </c>
      <c r="C25" s="59">
        <f>'30_70 (Miles)'!C25/1000</f>
        <v>0</v>
      </c>
      <c r="D25" s="59">
        <f>'30_70 (Miles)'!D25/1000</f>
        <v>0</v>
      </c>
      <c r="E25" s="59">
        <f>'30_70 (Miles)'!E25/1000</f>
        <v>0</v>
      </c>
      <c r="F25" s="59">
        <f>'30_70 (Miles)'!F25/1000</f>
        <v>0</v>
      </c>
      <c r="G25" s="59">
        <f>'30_70 (Miles)'!G25/1000</f>
        <v>0</v>
      </c>
      <c r="H25" s="59">
        <f>'30_70 (Miles)'!H25/1000</f>
        <v>0</v>
      </c>
      <c r="I25" s="59">
        <f>'30_70 (Miles)'!I25/1000</f>
        <v>0</v>
      </c>
      <c r="J25" s="59">
        <f>'30_70 (Miles)'!J25/1000</f>
        <v>0</v>
      </c>
      <c r="K25" s="59">
        <f>'30_70 (Miles)'!K25/1000</f>
        <v>0</v>
      </c>
      <c r="L25" s="6"/>
      <c r="M25" s="6"/>
    </row>
    <row r="26" spans="1:13" ht="36" customHeight="1">
      <c r="A26" s="68" t="s">
        <v>64</v>
      </c>
      <c r="B26" s="68"/>
      <c r="C26" s="58">
        <f>'30_70 (Miles)'!C26/1000</f>
        <v>0</v>
      </c>
      <c r="D26" s="58">
        <f>'30_70 (Miles)'!D26/1000</f>
        <v>0</v>
      </c>
      <c r="E26" s="58">
        <f>'30_70 (Miles)'!E26/1000</f>
        <v>0</v>
      </c>
      <c r="F26" s="58">
        <f>'30_70 (Miles)'!F26/1000</f>
        <v>0</v>
      </c>
      <c r="G26" s="58">
        <f>'30_70 (Miles)'!G26/1000</f>
        <v>0</v>
      </c>
      <c r="H26" s="58">
        <f>'30_70 (Miles)'!H26/1000</f>
        <v>0</v>
      </c>
      <c r="I26" s="58">
        <f>'30_70 (Miles)'!I26/1000</f>
        <v>0</v>
      </c>
      <c r="J26" s="58">
        <f>'30_70 (Miles)'!J26/1000</f>
        <v>0</v>
      </c>
      <c r="K26" s="58">
        <f>'30_70 (Miles)'!K26/1000</f>
        <v>0</v>
      </c>
      <c r="L26" s="3"/>
      <c r="M26" s="9"/>
    </row>
    <row r="27" spans="1:13" ht="32.25" customHeight="1">
      <c r="A27" s="7">
        <f>'30_70 (Miles)'!A27</f>
        <v>0</v>
      </c>
      <c r="B27" s="7">
        <f>'30_70 (Miles)'!B27</f>
        <v>0</v>
      </c>
      <c r="C27" s="59">
        <f>'30_70 (Miles)'!C27/1000</f>
        <v>0</v>
      </c>
      <c r="D27" s="59">
        <f>'30_70 (Miles)'!D27/1000</f>
        <v>0</v>
      </c>
      <c r="E27" s="59">
        <f>'30_70 (Miles)'!E27/1000</f>
        <v>0</v>
      </c>
      <c r="F27" s="59">
        <f>'30_70 (Miles)'!F27/1000</f>
        <v>0</v>
      </c>
      <c r="G27" s="59">
        <f>'30_70 (Miles)'!G27/1000</f>
        <v>0</v>
      </c>
      <c r="H27" s="59">
        <f>'30_70 (Miles)'!H27/1000</f>
        <v>0</v>
      </c>
      <c r="I27" s="59">
        <f>'30_70 (Miles)'!I27/1000</f>
        <v>0</v>
      </c>
      <c r="J27" s="59">
        <f>'30_70 (Miles)'!J27/1000</f>
        <v>0</v>
      </c>
      <c r="K27" s="59">
        <f>'30_70 (Miles)'!K27/1000</f>
        <v>0</v>
      </c>
      <c r="L27" s="9"/>
      <c r="M27" s="6"/>
    </row>
    <row r="28" spans="1:13" ht="32.25" customHeight="1">
      <c r="A28" s="7">
        <f>'30_70 (Miles)'!A28</f>
        <v>0</v>
      </c>
      <c r="B28" s="7">
        <f>'30_70 (Miles)'!B28</f>
        <v>0</v>
      </c>
      <c r="C28" s="59">
        <f>'30_70 (Miles)'!C28/1000</f>
        <v>0</v>
      </c>
      <c r="D28" s="59">
        <f>'30_70 (Miles)'!D28/1000</f>
        <v>0</v>
      </c>
      <c r="E28" s="59">
        <f>'30_70 (Miles)'!E28/1000</f>
        <v>0</v>
      </c>
      <c r="F28" s="59">
        <f>'30_70 (Miles)'!F28/1000</f>
        <v>0</v>
      </c>
      <c r="G28" s="59">
        <f>'30_70 (Miles)'!G28/1000</f>
        <v>0</v>
      </c>
      <c r="H28" s="59">
        <f>'30_70 (Miles)'!H28/1000</f>
        <v>0</v>
      </c>
      <c r="I28" s="59">
        <f>'30_70 (Miles)'!I28/1000</f>
        <v>0</v>
      </c>
      <c r="J28" s="59">
        <f>'30_70 (Miles)'!J28/1000</f>
        <v>0</v>
      </c>
      <c r="K28" s="59">
        <f>'30_70 (Miles)'!K28/1000</f>
        <v>0</v>
      </c>
      <c r="L28" s="9"/>
      <c r="M28" s="6"/>
    </row>
    <row r="29" spans="1:13" ht="32.25" customHeight="1">
      <c r="A29" s="7">
        <f>'30_70 (Miles)'!A29</f>
        <v>0</v>
      </c>
      <c r="B29" s="7">
        <f>'30_70 (Miles)'!B29</f>
        <v>0</v>
      </c>
      <c r="C29" s="59">
        <f>'30_70 (Miles)'!C29/1000</f>
        <v>0</v>
      </c>
      <c r="D29" s="59">
        <f>'30_70 (Miles)'!D29/1000</f>
        <v>0</v>
      </c>
      <c r="E29" s="59">
        <f>'30_70 (Miles)'!E29/1000</f>
        <v>0</v>
      </c>
      <c r="F29" s="59">
        <f>'30_70 (Miles)'!F29/1000</f>
        <v>0</v>
      </c>
      <c r="G29" s="59">
        <f>'30_70 (Miles)'!G29/1000</f>
        <v>0</v>
      </c>
      <c r="H29" s="59">
        <f>'30_70 (Miles)'!H29/1000</f>
        <v>0</v>
      </c>
      <c r="I29" s="59">
        <f>'30_70 (Miles)'!I29/1000</f>
        <v>0</v>
      </c>
      <c r="J29" s="59">
        <f>'30_70 (Miles)'!J29/1000</f>
        <v>0</v>
      </c>
      <c r="K29" s="59">
        <f>'30_70 (Miles)'!K29/1000</f>
        <v>0</v>
      </c>
      <c r="L29" s="9"/>
      <c r="M29" s="6"/>
    </row>
    <row r="30" spans="1:13" ht="32.25" customHeight="1">
      <c r="A30" s="7">
        <f>'30_70 (Miles)'!A30</f>
        <v>0</v>
      </c>
      <c r="B30" s="7">
        <f>'30_70 (Miles)'!B30</f>
        <v>0</v>
      </c>
      <c r="C30" s="59">
        <f>'30_70 (Miles)'!C30/1000</f>
        <v>0</v>
      </c>
      <c r="D30" s="59">
        <f>'30_70 (Miles)'!D30/1000</f>
        <v>0</v>
      </c>
      <c r="E30" s="59">
        <f>'30_70 (Miles)'!E30/1000</f>
        <v>0</v>
      </c>
      <c r="F30" s="59">
        <f>'30_70 (Miles)'!F30/1000</f>
        <v>0</v>
      </c>
      <c r="G30" s="59">
        <f>'30_70 (Miles)'!G30/1000</f>
        <v>0</v>
      </c>
      <c r="H30" s="59">
        <f>'30_70 (Miles)'!H30/1000</f>
        <v>0</v>
      </c>
      <c r="I30" s="59">
        <f>'30_70 (Miles)'!I30/1000</f>
        <v>0</v>
      </c>
      <c r="J30" s="59">
        <f>'30_70 (Miles)'!J30/1000</f>
        <v>0</v>
      </c>
      <c r="K30" s="59">
        <f>'30_70 (Miles)'!K30/1000</f>
        <v>0</v>
      </c>
      <c r="L30" s="9"/>
      <c r="M30" s="6"/>
    </row>
    <row r="31" spans="1:13" ht="32.25" customHeight="1">
      <c r="A31" s="7">
        <f>'30_70 (Miles)'!A31</f>
        <v>0</v>
      </c>
      <c r="B31" s="7">
        <f>'30_70 (Miles)'!B31</f>
        <v>0</v>
      </c>
      <c r="C31" s="59">
        <f>'30_70 (Miles)'!C31/1000</f>
        <v>0</v>
      </c>
      <c r="D31" s="59">
        <f>'30_70 (Miles)'!D31/1000</f>
        <v>0</v>
      </c>
      <c r="E31" s="59">
        <f>'30_70 (Miles)'!E31/1000</f>
        <v>0</v>
      </c>
      <c r="F31" s="59">
        <f>'30_70 (Miles)'!F31/1000</f>
        <v>0</v>
      </c>
      <c r="G31" s="59">
        <f>'30_70 (Miles)'!G31/1000</f>
        <v>0</v>
      </c>
      <c r="H31" s="59">
        <f>'30_70 (Miles)'!H31/1000</f>
        <v>0</v>
      </c>
      <c r="I31" s="59">
        <f>'30_70 (Miles)'!I31/1000</f>
        <v>0</v>
      </c>
      <c r="J31" s="59">
        <f>'30_70 (Miles)'!J31/1000</f>
        <v>0</v>
      </c>
      <c r="K31" s="59">
        <f>'30_70 (Miles)'!K31/1000</f>
        <v>0</v>
      </c>
      <c r="L31" s="9"/>
      <c r="M31" s="6"/>
    </row>
    <row r="32" spans="1:13" ht="32.25" customHeight="1">
      <c r="A32" s="7">
        <f>'30_70 (Miles)'!A32</f>
        <v>0</v>
      </c>
      <c r="B32" s="7">
        <f>'30_70 (Miles)'!B32</f>
        <v>0</v>
      </c>
      <c r="C32" s="59">
        <f>'30_70 (Miles)'!C32/1000</f>
        <v>0</v>
      </c>
      <c r="D32" s="59">
        <f>'30_70 (Miles)'!D32/1000</f>
        <v>0</v>
      </c>
      <c r="E32" s="59">
        <f>'30_70 (Miles)'!E32/1000</f>
        <v>0</v>
      </c>
      <c r="F32" s="59">
        <f>'30_70 (Miles)'!F32/1000</f>
        <v>0</v>
      </c>
      <c r="G32" s="59">
        <f>'30_70 (Miles)'!G32/1000</f>
        <v>0</v>
      </c>
      <c r="H32" s="59">
        <f>'30_70 (Miles)'!H32/1000</f>
        <v>0</v>
      </c>
      <c r="I32" s="59">
        <f>'30_70 (Miles)'!I32/1000</f>
        <v>0</v>
      </c>
      <c r="J32" s="59">
        <f>'30_70 (Miles)'!J32/1000</f>
        <v>0</v>
      </c>
      <c r="K32" s="59">
        <f>'30_70 (Miles)'!K32/1000</f>
        <v>0</v>
      </c>
      <c r="L32" s="9"/>
      <c r="M32" s="6"/>
    </row>
    <row r="33" spans="1:13" ht="32.25" customHeight="1">
      <c r="A33" s="7">
        <f>'30_70 (Miles)'!A33</f>
        <v>0</v>
      </c>
      <c r="B33" s="7">
        <f>'30_70 (Miles)'!B33</f>
        <v>0</v>
      </c>
      <c r="C33" s="59">
        <f>'30_70 (Miles)'!C33/1000</f>
        <v>0</v>
      </c>
      <c r="D33" s="59">
        <f>'30_70 (Miles)'!D33/1000</f>
        <v>0</v>
      </c>
      <c r="E33" s="59">
        <f>'30_70 (Miles)'!E33/1000</f>
        <v>0</v>
      </c>
      <c r="F33" s="59">
        <f>'30_70 (Miles)'!F33/1000</f>
        <v>0</v>
      </c>
      <c r="G33" s="59">
        <f>'30_70 (Miles)'!G33/1000</f>
        <v>0</v>
      </c>
      <c r="H33" s="59">
        <f>'30_70 (Miles)'!H33/1000</f>
        <v>0</v>
      </c>
      <c r="I33" s="59">
        <f>'30_70 (Miles)'!I33/1000</f>
        <v>0</v>
      </c>
      <c r="J33" s="59">
        <f>'30_70 (Miles)'!J33/1000</f>
        <v>0</v>
      </c>
      <c r="K33" s="59">
        <f>'30_70 (Miles)'!K33/1000</f>
        <v>0</v>
      </c>
      <c r="L33" s="9"/>
      <c r="M33" s="6"/>
    </row>
    <row r="34" spans="1:13" ht="32.25" customHeight="1">
      <c r="A34" s="7">
        <f>'30_70 (Miles)'!A34</f>
        <v>0</v>
      </c>
      <c r="B34" s="7">
        <f>'30_70 (Miles)'!B34</f>
        <v>0</v>
      </c>
      <c r="C34" s="59">
        <f>'30_70 (Miles)'!C34/1000</f>
        <v>0</v>
      </c>
      <c r="D34" s="59">
        <f>'30_70 (Miles)'!D34/1000</f>
        <v>0</v>
      </c>
      <c r="E34" s="59">
        <f>'30_70 (Miles)'!E34/1000</f>
        <v>0</v>
      </c>
      <c r="F34" s="59">
        <f>'30_70 (Miles)'!F34/1000</f>
        <v>0</v>
      </c>
      <c r="G34" s="59">
        <f>'30_70 (Miles)'!G34/1000</f>
        <v>0</v>
      </c>
      <c r="H34" s="59">
        <f>'30_70 (Miles)'!H34/1000</f>
        <v>0</v>
      </c>
      <c r="I34" s="59">
        <f>'30_70 (Miles)'!I34/1000</f>
        <v>0</v>
      </c>
      <c r="J34" s="59">
        <f>'30_70 (Miles)'!J34/1000</f>
        <v>0</v>
      </c>
      <c r="K34" s="59">
        <f>'30_70 (Miles)'!K34/1000</f>
        <v>0</v>
      </c>
      <c r="L34" s="9"/>
      <c r="M34" s="6"/>
    </row>
    <row r="35" spans="1:13" ht="36" customHeight="1">
      <c r="A35" s="68" t="s">
        <v>65</v>
      </c>
      <c r="B35" s="68"/>
      <c r="C35" s="58">
        <f>'30_70 (Miles)'!C35/1000</f>
        <v>0</v>
      </c>
      <c r="D35" s="58">
        <f>'30_70 (Miles)'!D35/1000</f>
        <v>0</v>
      </c>
      <c r="E35" s="58">
        <f>'30_70 (Miles)'!E35/1000</f>
        <v>0</v>
      </c>
      <c r="F35" s="58">
        <f>'30_70 (Miles)'!F35/1000</f>
        <v>0</v>
      </c>
      <c r="G35" s="58">
        <f>'30_70 (Miles)'!G35/1000</f>
        <v>0</v>
      </c>
      <c r="H35" s="58">
        <f>'30_70 (Miles)'!H35/1000</f>
        <v>0</v>
      </c>
      <c r="I35" s="58">
        <f>'30_70 (Miles)'!I35/1000</f>
        <v>0</v>
      </c>
      <c r="J35" s="58">
        <f>'30_70 (Miles)'!J35/1000</f>
        <v>0</v>
      </c>
      <c r="K35" s="58">
        <f>'30_70 (Miles)'!K35/1000</f>
        <v>0</v>
      </c>
      <c r="L35" s="3"/>
      <c r="M35" s="9"/>
    </row>
    <row r="36" spans="1:13" ht="32.25" customHeight="1">
      <c r="A36" s="7">
        <f>'30_70 (Miles)'!A36</f>
        <v>0</v>
      </c>
      <c r="B36" s="7">
        <f>'30_70 (Miles)'!B36</f>
        <v>0</v>
      </c>
      <c r="C36" s="59">
        <f>'30_70 (Miles)'!C36/1000</f>
        <v>0</v>
      </c>
      <c r="D36" s="59">
        <f>'30_70 (Miles)'!D36/1000</f>
        <v>0</v>
      </c>
      <c r="E36" s="59">
        <f>'30_70 (Miles)'!E36/1000</f>
        <v>0</v>
      </c>
      <c r="F36" s="59">
        <f>'30_70 (Miles)'!F36/1000</f>
        <v>0</v>
      </c>
      <c r="G36" s="59">
        <f>'30_70 (Miles)'!G36/1000</f>
        <v>0</v>
      </c>
      <c r="H36" s="59">
        <f>'30_70 (Miles)'!H36/1000</f>
        <v>0</v>
      </c>
      <c r="I36" s="59">
        <f>'30_70 (Miles)'!I36/1000</f>
        <v>0</v>
      </c>
      <c r="J36" s="59">
        <f>'30_70 (Miles)'!J36/1000</f>
        <v>0</v>
      </c>
      <c r="K36" s="59">
        <f>'30_70 (Miles)'!K36/1000</f>
        <v>0</v>
      </c>
      <c r="L36" s="6"/>
      <c r="M36" s="6"/>
    </row>
    <row r="37" spans="1:13" ht="32.25" customHeight="1">
      <c r="A37" s="7">
        <f>'30_70 (Miles)'!A37</f>
        <v>0</v>
      </c>
      <c r="B37" s="7">
        <f>'30_70 (Miles)'!B37</f>
        <v>0</v>
      </c>
      <c r="C37" s="59">
        <f>'30_70 (Miles)'!C37/1000</f>
        <v>0</v>
      </c>
      <c r="D37" s="59">
        <f>'30_70 (Miles)'!D37/1000</f>
        <v>0</v>
      </c>
      <c r="E37" s="59">
        <f>'30_70 (Miles)'!E37/1000</f>
        <v>0</v>
      </c>
      <c r="F37" s="59">
        <f>'30_70 (Miles)'!F37/1000</f>
        <v>0</v>
      </c>
      <c r="G37" s="59">
        <f>'30_70 (Miles)'!G37/1000</f>
        <v>0</v>
      </c>
      <c r="H37" s="59">
        <f>'30_70 (Miles)'!H37/1000</f>
        <v>0</v>
      </c>
      <c r="I37" s="59">
        <f>'30_70 (Miles)'!I37/1000</f>
        <v>0</v>
      </c>
      <c r="J37" s="59">
        <f>'30_70 (Miles)'!J37/1000</f>
        <v>0</v>
      </c>
      <c r="K37" s="59">
        <f>'30_70 (Miles)'!K37/1000</f>
        <v>0</v>
      </c>
      <c r="L37" s="6"/>
      <c r="M37" s="6"/>
    </row>
    <row r="38" spans="1:13" ht="32.25" customHeight="1">
      <c r="A38" s="7">
        <f>'30_70 (Miles)'!A38</f>
        <v>0</v>
      </c>
      <c r="B38" s="7">
        <f>'30_70 (Miles)'!B38</f>
        <v>0</v>
      </c>
      <c r="C38" s="59">
        <f>'30_70 (Miles)'!C38/1000</f>
        <v>0</v>
      </c>
      <c r="D38" s="59">
        <f>'30_70 (Miles)'!D38/1000</f>
        <v>0</v>
      </c>
      <c r="E38" s="59">
        <f>'30_70 (Miles)'!E38/1000</f>
        <v>0</v>
      </c>
      <c r="F38" s="59">
        <f>'30_70 (Miles)'!F38/1000</f>
        <v>0</v>
      </c>
      <c r="G38" s="59">
        <f>'30_70 (Miles)'!G38/1000</f>
        <v>0</v>
      </c>
      <c r="H38" s="59">
        <f>'30_70 (Miles)'!H38/1000</f>
        <v>0</v>
      </c>
      <c r="I38" s="59">
        <f>'30_70 (Miles)'!I38/1000</f>
        <v>0</v>
      </c>
      <c r="J38" s="59">
        <f>'30_70 (Miles)'!J38/1000</f>
        <v>0</v>
      </c>
      <c r="K38" s="59">
        <f>'30_70 (Miles)'!K38/1000</f>
        <v>0</v>
      </c>
      <c r="L38" s="6"/>
      <c r="M38" s="6"/>
    </row>
    <row r="39" spans="1:13" ht="32.25" customHeight="1">
      <c r="A39" s="7">
        <f>'30_70 (Miles)'!A39</f>
        <v>0</v>
      </c>
      <c r="B39" s="7">
        <f>'30_70 (Miles)'!B39</f>
        <v>0</v>
      </c>
      <c r="C39" s="59">
        <f>'30_70 (Miles)'!C39/1000</f>
        <v>0</v>
      </c>
      <c r="D39" s="59">
        <f>'30_70 (Miles)'!D39/1000</f>
        <v>0</v>
      </c>
      <c r="E39" s="59">
        <f>'30_70 (Miles)'!E39/1000</f>
        <v>0</v>
      </c>
      <c r="F39" s="59">
        <f>'30_70 (Miles)'!F39/1000</f>
        <v>0</v>
      </c>
      <c r="G39" s="59">
        <f>'30_70 (Miles)'!G39/1000</f>
        <v>0</v>
      </c>
      <c r="H39" s="59">
        <f>'30_70 (Miles)'!H39/1000</f>
        <v>0</v>
      </c>
      <c r="I39" s="59">
        <f>'30_70 (Miles)'!I39/1000</f>
        <v>0</v>
      </c>
      <c r="J39" s="59">
        <f>'30_70 (Miles)'!J39/1000</f>
        <v>0</v>
      </c>
      <c r="K39" s="59">
        <f>'30_70 (Miles)'!K39/1000</f>
        <v>0</v>
      </c>
      <c r="L39" s="6"/>
      <c r="M39" s="6"/>
    </row>
    <row r="40" spans="1:13" ht="32.25" customHeight="1">
      <c r="A40" s="7">
        <f>'30_70 (Miles)'!A40</f>
        <v>0</v>
      </c>
      <c r="B40" s="7">
        <f>'30_70 (Miles)'!B40</f>
        <v>0</v>
      </c>
      <c r="C40" s="59">
        <f>'30_70 (Miles)'!C40/1000</f>
        <v>0</v>
      </c>
      <c r="D40" s="59">
        <f>'30_70 (Miles)'!D40/1000</f>
        <v>0</v>
      </c>
      <c r="E40" s="59">
        <f>'30_70 (Miles)'!E40/1000</f>
        <v>0</v>
      </c>
      <c r="F40" s="59">
        <f>'30_70 (Miles)'!F40/1000</f>
        <v>0</v>
      </c>
      <c r="G40" s="59">
        <f>'30_70 (Miles)'!G40/1000</f>
        <v>0</v>
      </c>
      <c r="H40" s="59">
        <f>'30_70 (Miles)'!H40/1000</f>
        <v>0</v>
      </c>
      <c r="I40" s="59">
        <f>'30_70 (Miles)'!I40/1000</f>
        <v>0</v>
      </c>
      <c r="J40" s="59">
        <f>'30_70 (Miles)'!J40/1000</f>
        <v>0</v>
      </c>
      <c r="K40" s="59">
        <f>'30_70 (Miles)'!K40/1000</f>
        <v>0</v>
      </c>
      <c r="L40" s="6"/>
      <c r="M40" s="6"/>
    </row>
    <row r="41" spans="1:13" ht="32.25" customHeight="1">
      <c r="A41" s="7">
        <f>'30_70 (Miles)'!A41</f>
        <v>0</v>
      </c>
      <c r="B41" s="7">
        <f>'30_70 (Miles)'!B41</f>
        <v>0</v>
      </c>
      <c r="C41" s="59">
        <f>'30_70 (Miles)'!C41/1000</f>
        <v>0</v>
      </c>
      <c r="D41" s="59">
        <f>'30_70 (Miles)'!D41/1000</f>
        <v>0</v>
      </c>
      <c r="E41" s="59">
        <f>'30_70 (Miles)'!E41/1000</f>
        <v>0</v>
      </c>
      <c r="F41" s="59">
        <f>'30_70 (Miles)'!F41/1000</f>
        <v>0</v>
      </c>
      <c r="G41" s="59">
        <f>'30_70 (Miles)'!G41/1000</f>
        <v>0</v>
      </c>
      <c r="H41" s="59">
        <f>'30_70 (Miles)'!H41/1000</f>
        <v>0</v>
      </c>
      <c r="I41" s="59">
        <f>'30_70 (Miles)'!I41/1000</f>
        <v>0</v>
      </c>
      <c r="J41" s="59">
        <f>'30_70 (Miles)'!J41/1000</f>
        <v>0</v>
      </c>
      <c r="K41" s="59">
        <f>'30_70 (Miles)'!K41/1000</f>
        <v>0</v>
      </c>
      <c r="L41" s="6"/>
      <c r="M41" s="6"/>
    </row>
    <row r="42" spans="1:13" ht="32.25" customHeight="1">
      <c r="A42" s="7">
        <f>'30_70 (Miles)'!A42</f>
        <v>0</v>
      </c>
      <c r="B42" s="7">
        <f>'30_70 (Miles)'!B42</f>
        <v>0</v>
      </c>
      <c r="C42" s="59">
        <f>'30_70 (Miles)'!C42/1000</f>
        <v>0</v>
      </c>
      <c r="D42" s="59">
        <f>'30_70 (Miles)'!D42/1000</f>
        <v>0</v>
      </c>
      <c r="E42" s="59">
        <f>'30_70 (Miles)'!E42/1000</f>
        <v>0</v>
      </c>
      <c r="F42" s="59">
        <f>'30_70 (Miles)'!F42/1000</f>
        <v>0</v>
      </c>
      <c r="G42" s="59">
        <f>'30_70 (Miles)'!G42/1000</f>
        <v>0</v>
      </c>
      <c r="H42" s="59">
        <f>'30_70 (Miles)'!H42/1000</f>
        <v>0</v>
      </c>
      <c r="I42" s="59">
        <f>'30_70 (Miles)'!I42/1000</f>
        <v>0</v>
      </c>
      <c r="J42" s="59">
        <f>'30_70 (Miles)'!J42/1000</f>
        <v>0</v>
      </c>
      <c r="K42" s="59">
        <f>'30_70 (Miles)'!K42/1000</f>
        <v>0</v>
      </c>
      <c r="L42" s="6"/>
      <c r="M42" s="6"/>
    </row>
    <row r="43" spans="1:13" ht="32.25" customHeight="1">
      <c r="A43" s="7">
        <f>'30_70 (Miles)'!A43</f>
        <v>0</v>
      </c>
      <c r="B43" s="7">
        <f>'30_70 (Miles)'!B43</f>
        <v>0</v>
      </c>
      <c r="C43" s="59">
        <f>'30_70 (Miles)'!C43/1000</f>
        <v>0</v>
      </c>
      <c r="D43" s="59">
        <f>'30_70 (Miles)'!D43/1000</f>
        <v>0</v>
      </c>
      <c r="E43" s="59">
        <f>'30_70 (Miles)'!E43/1000</f>
        <v>0</v>
      </c>
      <c r="F43" s="59">
        <f>'30_70 (Miles)'!F43/1000</f>
        <v>0</v>
      </c>
      <c r="G43" s="59">
        <f>'30_70 (Miles)'!G43/1000</f>
        <v>0</v>
      </c>
      <c r="H43" s="59">
        <f>'30_70 (Miles)'!H43/1000</f>
        <v>0</v>
      </c>
      <c r="I43" s="59">
        <f>'30_70 (Miles)'!I43/1000</f>
        <v>0</v>
      </c>
      <c r="J43" s="59">
        <f>'30_70 (Miles)'!J43/1000</f>
        <v>0</v>
      </c>
      <c r="K43" s="59">
        <f>'30_70 (Miles)'!K43/1000</f>
        <v>0</v>
      </c>
      <c r="L43" s="6"/>
      <c r="M43" s="6"/>
    </row>
    <row r="44" spans="1:13" ht="36" customHeight="1">
      <c r="A44" s="74" t="s">
        <v>36</v>
      </c>
      <c r="B44" s="74"/>
      <c r="C44" s="58">
        <f>'30_70 (Miles)'!C44/1000</f>
        <v>0</v>
      </c>
      <c r="D44" s="58">
        <f>'30_70 (Miles)'!D44/1000</f>
        <v>0</v>
      </c>
      <c r="E44" s="58">
        <f>'30_70 (Miles)'!E44/1000</f>
        <v>0</v>
      </c>
      <c r="F44" s="58">
        <f>'30_70 (Miles)'!F44/1000</f>
        <v>0</v>
      </c>
      <c r="G44" s="58">
        <f>'30_70 (Miles)'!G44/1000</f>
        <v>0</v>
      </c>
      <c r="H44" s="58">
        <f>'30_70 (Miles)'!H44/1000</f>
        <v>0</v>
      </c>
      <c r="I44" s="58">
        <f>'30_70 (Miles)'!I44/1000</f>
        <v>0</v>
      </c>
      <c r="J44" s="58">
        <f>'30_70 (Miles)'!J44/1000</f>
        <v>0</v>
      </c>
      <c r="K44" s="58">
        <f>'30_70 (Miles)'!K44/1000</f>
        <v>0</v>
      </c>
      <c r="L44" s="3"/>
      <c r="M44" s="10"/>
    </row>
    <row r="45" spans="1:13" ht="15.75">
      <c r="A45" s="11"/>
      <c r="B45" s="11"/>
      <c r="C45" s="33"/>
      <c r="D45" s="11"/>
      <c r="E45" s="11"/>
      <c r="F45" s="11"/>
      <c r="G45" s="11"/>
      <c r="H45" s="11"/>
      <c r="I45" s="11"/>
      <c r="J45" s="11"/>
      <c r="K45" s="61"/>
    </row>
    <row r="46" spans="1:13" ht="15.75">
      <c r="A46" s="5" t="s">
        <v>37</v>
      </c>
      <c r="B46" s="5"/>
      <c r="C46" s="5"/>
      <c r="D46" s="5"/>
      <c r="E46" s="5"/>
      <c r="F46" s="5"/>
      <c r="G46" s="5"/>
      <c r="H46" s="13" t="s">
        <v>38</v>
      </c>
      <c r="I46" s="75" t="s">
        <v>39</v>
      </c>
      <c r="J46" s="75"/>
      <c r="K46" s="75"/>
    </row>
    <row r="47" spans="1:13" ht="15.75">
      <c r="A47" s="5" t="s">
        <v>40</v>
      </c>
      <c r="B47" s="5"/>
      <c r="C47" s="5"/>
      <c r="D47" s="5"/>
      <c r="E47" s="5"/>
      <c r="F47" s="5"/>
      <c r="G47" s="5"/>
      <c r="H47" s="6"/>
      <c r="I47" s="75"/>
      <c r="J47" s="75"/>
      <c r="K47" s="75"/>
    </row>
    <row r="48" spans="1:1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5.75">
      <c r="A49" s="5"/>
      <c r="B49" s="5" t="s">
        <v>66</v>
      </c>
      <c r="C49" s="14" t="s">
        <v>41</v>
      </c>
      <c r="D49" s="5" t="s">
        <v>42</v>
      </c>
      <c r="E49" s="5"/>
      <c r="F49" s="5"/>
      <c r="G49" s="15" t="s">
        <v>43</v>
      </c>
      <c r="H49" s="76" t="s">
        <v>44</v>
      </c>
      <c r="I49" s="76"/>
      <c r="J49" s="5" t="s">
        <v>45</v>
      </c>
      <c r="K49" s="5"/>
    </row>
    <row r="50" spans="1:11" ht="15.75">
      <c r="A50" s="6"/>
      <c r="B50" s="5"/>
      <c r="C50" s="11" t="s">
        <v>46</v>
      </c>
      <c r="D50" s="6"/>
      <c r="E50" s="5"/>
      <c r="F50" s="5"/>
      <c r="G50" s="5"/>
      <c r="H50" s="66" t="s">
        <v>46</v>
      </c>
      <c r="I50" s="66"/>
      <c r="J50" s="5"/>
      <c r="K50" s="5"/>
    </row>
    <row r="51" spans="1:11" ht="15.75">
      <c r="A51" s="16"/>
      <c r="B51" s="17"/>
      <c r="C51" s="18"/>
      <c r="D51" s="16"/>
      <c r="E51" s="17"/>
      <c r="F51" s="17"/>
      <c r="G51" s="17"/>
      <c r="H51" s="18"/>
      <c r="I51" s="17"/>
      <c r="J51" s="17"/>
      <c r="K51" s="17"/>
    </row>
    <row r="52" spans="1:11" ht="12.75" customHeight="1">
      <c r="A52" s="19"/>
      <c r="B52" s="20"/>
      <c r="C52" s="11"/>
      <c r="D52" s="11"/>
      <c r="E52" s="11"/>
      <c r="F52" s="11"/>
      <c r="G52" s="11"/>
      <c r="H52" s="11"/>
      <c r="I52" s="11"/>
      <c r="J52" s="11"/>
      <c r="K52" s="11"/>
    </row>
    <row r="53" spans="1:11" ht="12.75" customHeight="1">
      <c r="A53" s="21" t="s">
        <v>48</v>
      </c>
      <c r="B53" s="21"/>
      <c r="C53" s="6"/>
      <c r="D53" s="22"/>
      <c r="E53" s="22"/>
      <c r="F53" s="22"/>
      <c r="G53" s="22"/>
      <c r="H53" s="21"/>
      <c r="I53" s="23"/>
      <c r="J53" s="6"/>
      <c r="K53" s="6"/>
    </row>
    <row r="54" spans="1:11" ht="30">
      <c r="A54" s="21" t="s">
        <v>48</v>
      </c>
      <c r="B54" s="21"/>
      <c r="C54" s="24" t="s">
        <v>49</v>
      </c>
      <c r="D54" s="73" t="s">
        <v>50</v>
      </c>
      <c r="E54" s="73"/>
      <c r="F54" s="73"/>
      <c r="G54" s="73"/>
      <c r="H54" s="73"/>
      <c r="I54" s="73"/>
      <c r="J54" s="73"/>
      <c r="K54" s="73"/>
    </row>
    <row r="55" spans="1:11" ht="13.5" customHeight="1">
      <c r="A55" s="21" t="s">
        <v>48</v>
      </c>
      <c r="B55" s="15"/>
      <c r="C55" s="22"/>
      <c r="D55" s="22"/>
      <c r="E55" s="22"/>
      <c r="F55" s="22"/>
      <c r="G55" s="22"/>
      <c r="H55" s="45"/>
      <c r="I55" s="13"/>
      <c r="J55" s="15"/>
      <c r="K55" s="15"/>
    </row>
    <row r="56" spans="1:11" ht="31.5" customHeight="1" thickBot="1">
      <c r="A56" s="21" t="s">
        <v>48</v>
      </c>
      <c r="B56" s="77" t="s">
        <v>61</v>
      </c>
      <c r="C56" s="78"/>
      <c r="D56" s="78"/>
      <c r="E56" s="78"/>
      <c r="F56" s="79" t="s">
        <v>51</v>
      </c>
      <c r="G56" s="80"/>
      <c r="H56" s="80"/>
      <c r="I56" s="81"/>
      <c r="J56" s="15"/>
      <c r="K56" s="5"/>
    </row>
    <row r="57" spans="1:11" ht="24.75" customHeight="1">
      <c r="A57" s="21" t="s">
        <v>48</v>
      </c>
      <c r="B57" s="82" t="s">
        <v>52</v>
      </c>
      <c r="C57" s="83"/>
      <c r="D57" s="28">
        <f>C44</f>
        <v>0</v>
      </c>
      <c r="E57" s="29">
        <v>1</v>
      </c>
      <c r="F57" s="84" t="s">
        <v>52</v>
      </c>
      <c r="G57" s="84"/>
      <c r="H57" s="28">
        <f>D57</f>
        <v>0</v>
      </c>
      <c r="I57" s="54">
        <v>1</v>
      </c>
      <c r="J57" s="15"/>
      <c r="K57" s="5"/>
    </row>
    <row r="58" spans="1:11" ht="36.75" customHeight="1">
      <c r="A58" s="21" t="s">
        <v>48</v>
      </c>
      <c r="B58" s="85" t="s">
        <v>53</v>
      </c>
      <c r="C58" s="86"/>
      <c r="D58" s="30">
        <f>E44</f>
        <v>0</v>
      </c>
      <c r="E58" s="34" t="e">
        <f>D58/D57</f>
        <v>#DIV/0!</v>
      </c>
      <c r="F58" s="87" t="s">
        <v>54</v>
      </c>
      <c r="G58" s="87"/>
      <c r="H58" s="30">
        <f>D44+G44+H44+I44+J44+K44</f>
        <v>0</v>
      </c>
      <c r="I58" s="55" t="e">
        <f>H58/H57</f>
        <v>#DIV/0!</v>
      </c>
      <c r="J58" s="15"/>
      <c r="K58" s="5"/>
    </row>
    <row r="59" spans="1:11" ht="24.75" customHeight="1" thickBot="1">
      <c r="A59" s="21" t="s">
        <v>48</v>
      </c>
      <c r="B59" s="85" t="s">
        <v>55</v>
      </c>
      <c r="C59" s="86"/>
      <c r="D59" s="31">
        <f>F44</f>
        <v>0</v>
      </c>
      <c r="E59" s="34" t="e">
        <f>D59/D57</f>
        <v>#DIV/0!</v>
      </c>
      <c r="F59" s="88" t="s">
        <v>56</v>
      </c>
      <c r="G59" s="88"/>
      <c r="H59" s="30">
        <f>D60</f>
        <v>0</v>
      </c>
      <c r="I59" s="56" t="e">
        <f>H59/H57</f>
        <v>#DIV/0!</v>
      </c>
      <c r="J59" s="15"/>
      <c r="K59" s="5"/>
    </row>
    <row r="60" spans="1:11" ht="24.75" customHeight="1" thickTop="1">
      <c r="A60" s="21" t="s">
        <v>48</v>
      </c>
      <c r="B60" s="89" t="s">
        <v>57</v>
      </c>
      <c r="C60" s="90"/>
      <c r="D60" s="32">
        <f>D58+D59</f>
        <v>0</v>
      </c>
      <c r="E60" s="106" t="e">
        <f>D60/D57</f>
        <v>#DIV/0!</v>
      </c>
      <c r="F60" s="88" t="s">
        <v>58</v>
      </c>
      <c r="G60" s="88"/>
      <c r="H60" s="109">
        <f>H59+H58</f>
        <v>0</v>
      </c>
      <c r="I60" s="112" t="e">
        <f>H60/H57</f>
        <v>#DIV/0!</v>
      </c>
      <c r="J60" s="15"/>
      <c r="K60" s="5"/>
    </row>
    <row r="61" spans="1:11" ht="24.75" customHeight="1">
      <c r="A61" s="21" t="s">
        <v>48</v>
      </c>
      <c r="B61" s="85" t="s">
        <v>59</v>
      </c>
      <c r="C61" s="86"/>
      <c r="D61" s="86"/>
      <c r="E61" s="107"/>
      <c r="F61" s="88"/>
      <c r="G61" s="88"/>
      <c r="H61" s="110"/>
      <c r="I61" s="113"/>
      <c r="J61" s="15"/>
      <c r="K61" s="5"/>
    </row>
    <row r="62" spans="1:11" ht="24.75" customHeight="1">
      <c r="A62" s="21" t="s">
        <v>48</v>
      </c>
      <c r="B62" s="98"/>
      <c r="C62" s="99"/>
      <c r="D62" s="99"/>
      <c r="E62" s="108"/>
      <c r="F62" s="94"/>
      <c r="G62" s="94"/>
      <c r="H62" s="111"/>
      <c r="I62" s="114"/>
      <c r="J62" s="15"/>
    </row>
    <row r="63" spans="1:11" ht="24.75" hidden="1" customHeight="1">
      <c r="A63" s="21" t="s">
        <v>48</v>
      </c>
      <c r="B63" s="100" t="s">
        <v>60</v>
      </c>
      <c r="C63" s="90"/>
      <c r="D63" s="30">
        <f>D57*30%</f>
        <v>0</v>
      </c>
      <c r="E63" s="34" t="e">
        <f>D63/D57</f>
        <v>#DIV/0!</v>
      </c>
      <c r="F63" s="25"/>
      <c r="G63" s="51"/>
      <c r="H63" s="52"/>
      <c r="I63" s="53"/>
      <c r="J63" s="15"/>
    </row>
    <row r="64" spans="1:11" ht="24.75" hidden="1" customHeight="1">
      <c r="A64" s="21" t="s">
        <v>48</v>
      </c>
      <c r="B64" s="100" t="s">
        <v>56</v>
      </c>
      <c r="C64" s="90"/>
      <c r="D64" s="30">
        <f>D60</f>
        <v>0</v>
      </c>
      <c r="E64" s="41" t="e">
        <f>D64/D57</f>
        <v>#DIV/0!</v>
      </c>
      <c r="F64" s="25"/>
      <c r="G64" s="5"/>
      <c r="H64" s="5"/>
      <c r="I64" s="26"/>
      <c r="J64" s="15"/>
    </row>
    <row r="65" spans="1:10" ht="24.75" hidden="1" customHeight="1" thickBot="1">
      <c r="A65" s="21" t="s">
        <v>48</v>
      </c>
      <c r="B65" s="101" t="s">
        <v>63</v>
      </c>
      <c r="C65" s="102"/>
      <c r="D65" s="36">
        <f>D63-D64</f>
        <v>0</v>
      </c>
      <c r="E65" s="35" t="e">
        <f>D65/D57</f>
        <v>#DIV/0!</v>
      </c>
      <c r="F65" s="37"/>
      <c r="G65" s="38"/>
      <c r="H65" s="39"/>
      <c r="I65" s="40"/>
      <c r="J65" s="15"/>
    </row>
    <row r="66" spans="1:10" ht="30">
      <c r="A66" s="21" t="s">
        <v>48</v>
      </c>
      <c r="B66" s="5"/>
      <c r="C66" s="5"/>
      <c r="D66" s="57"/>
      <c r="E66" s="5"/>
      <c r="F66" s="5"/>
      <c r="G66" s="5" t="s">
        <v>85</v>
      </c>
      <c r="H66" s="5"/>
      <c r="I66" s="5"/>
      <c r="J66" s="15"/>
    </row>
    <row r="67" spans="1:10">
      <c r="A67" s="5"/>
      <c r="B67" s="5"/>
      <c r="C67" s="5"/>
      <c r="D67" s="5"/>
      <c r="E67" s="5"/>
      <c r="F67" s="5"/>
      <c r="G67" s="5"/>
      <c r="H67" s="5"/>
      <c r="I67" s="5"/>
      <c r="J67" s="15"/>
    </row>
  </sheetData>
  <mergeCells count="46">
    <mergeCell ref="A2:K2"/>
    <mergeCell ref="A6:K6"/>
    <mergeCell ref="A9:B11"/>
    <mergeCell ref="C9:C11"/>
    <mergeCell ref="D9:K9"/>
    <mergeCell ref="D10:D12"/>
    <mergeCell ref="E10:F11"/>
    <mergeCell ref="G10:J11"/>
    <mergeCell ref="K10:K12"/>
    <mergeCell ref="A12:A15"/>
    <mergeCell ref="I7:K7"/>
    <mergeCell ref="B12:B15"/>
    <mergeCell ref="C12:C14"/>
    <mergeCell ref="E12:E14"/>
    <mergeCell ref="A16:B16"/>
    <mergeCell ref="A26:B26"/>
    <mergeCell ref="I46:K47"/>
    <mergeCell ref="H49:I49"/>
    <mergeCell ref="H50:I50"/>
    <mergeCell ref="A35:B35"/>
    <mergeCell ref="A44:B44"/>
    <mergeCell ref="D54:K54"/>
    <mergeCell ref="I12:I13"/>
    <mergeCell ref="J12:J13"/>
    <mergeCell ref="D13:D14"/>
    <mergeCell ref="K13:K14"/>
    <mergeCell ref="F12:F14"/>
    <mergeCell ref="G12:G13"/>
    <mergeCell ref="H12:H13"/>
    <mergeCell ref="B56:E56"/>
    <mergeCell ref="F56:I56"/>
    <mergeCell ref="F57:G57"/>
    <mergeCell ref="F58:G58"/>
    <mergeCell ref="F59:G59"/>
    <mergeCell ref="H60:H62"/>
    <mergeCell ref="I60:I62"/>
    <mergeCell ref="B57:C57"/>
    <mergeCell ref="B58:C58"/>
    <mergeCell ref="B59:C59"/>
    <mergeCell ref="B60:C60"/>
    <mergeCell ref="B61:D62"/>
    <mergeCell ref="B63:C63"/>
    <mergeCell ref="B64:C64"/>
    <mergeCell ref="B65:C65"/>
    <mergeCell ref="E60:E62"/>
    <mergeCell ref="F60:G62"/>
  </mergeCells>
  <pageMargins left="0.25" right="0.25" top="0.75" bottom="0.75" header="0.3" footer="0.3"/>
  <pageSetup scale="38" fitToHeight="0" orientation="landscape" r:id="rId1"/>
  <headerFooter>
    <oddHeader>&amp;C&amp;"Calibri"&amp;10&amp;K000000 Información Confidencial&amp;1#_x000D_</oddHeader>
    <oddFooter>&amp;C_x000D_&amp;1#&amp;"Calibri"&amp;10&amp;K000000 Información Confidencial</oddFooter>
  </headerFooter>
  <rowBreaks count="1" manualBreakCount="1">
    <brk id="44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144E-1D58-4170-9794-E322D54CC1E4}">
  <dimension ref="A1:M2"/>
  <sheetViews>
    <sheetView topLeftCell="D1" workbookViewId="0">
      <selection activeCell="D2" sqref="D2"/>
    </sheetView>
  </sheetViews>
  <sheetFormatPr baseColWidth="10" defaultRowHeight="12.75"/>
  <cols>
    <col min="1" max="1" width="14.5703125" customWidth="1"/>
    <col min="2" max="2" width="35.5703125" customWidth="1"/>
    <col min="3" max="3" width="22" customWidth="1"/>
    <col min="4" max="4" width="16.28515625" customWidth="1"/>
    <col min="5" max="5" width="14.28515625" customWidth="1"/>
    <col min="6" max="6" width="12.140625" customWidth="1"/>
    <col min="7" max="7" width="22.28515625" customWidth="1"/>
    <col min="9" max="9" width="21.42578125" customWidth="1"/>
    <col min="10" max="10" width="23.42578125" customWidth="1"/>
    <col min="11" max="11" width="17.85546875" customWidth="1"/>
    <col min="12" max="12" width="20.42578125" customWidth="1"/>
    <col min="13" max="13" width="18.28515625" style="43" customWidth="1"/>
  </cols>
  <sheetData>
    <row r="1" spans="1:13">
      <c r="A1" s="62" t="s">
        <v>96</v>
      </c>
      <c r="B1" s="63" t="s">
        <v>97</v>
      </c>
      <c r="C1" s="63" t="s">
        <v>98</v>
      </c>
      <c r="D1" s="63" t="s">
        <v>99</v>
      </c>
      <c r="E1" s="63" t="s">
        <v>100</v>
      </c>
      <c r="F1" s="63" t="s">
        <v>101</v>
      </c>
      <c r="G1" s="63" t="s">
        <v>102</v>
      </c>
      <c r="H1" s="63" t="s">
        <v>103</v>
      </c>
      <c r="I1" s="63" t="s">
        <v>111</v>
      </c>
      <c r="J1" s="63" t="s">
        <v>104</v>
      </c>
      <c r="K1" s="63" t="s">
        <v>105</v>
      </c>
      <c r="L1" s="63" t="s">
        <v>106</v>
      </c>
      <c r="M1" s="65" t="s">
        <v>113</v>
      </c>
    </row>
    <row r="2" spans="1:13">
      <c r="E2" s="64"/>
      <c r="F2" s="64"/>
      <c r="G2" s="6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CA59-2F9C-4E4A-AEC7-59005DB2AB88}">
  <dimension ref="A1:M1"/>
  <sheetViews>
    <sheetView topLeftCell="C1" workbookViewId="0">
      <selection activeCell="C2" sqref="C2"/>
    </sheetView>
  </sheetViews>
  <sheetFormatPr baseColWidth="10" defaultRowHeight="12.75"/>
  <cols>
    <col min="1" max="1" width="14.5703125" customWidth="1"/>
    <col min="2" max="2" width="20.28515625" customWidth="1"/>
    <col min="3" max="3" width="22" customWidth="1"/>
    <col min="4" max="4" width="16.28515625" customWidth="1"/>
    <col min="5" max="5" width="14.28515625" customWidth="1"/>
    <col min="6" max="6" width="12.140625" customWidth="1"/>
    <col min="7" max="7" width="22.28515625" customWidth="1"/>
    <col min="10" max="10" width="11.7109375" customWidth="1"/>
    <col min="11" max="11" width="17.85546875" customWidth="1"/>
    <col min="12" max="12" width="20.42578125" customWidth="1"/>
    <col min="13" max="13" width="18.28515625" style="43" customWidth="1"/>
  </cols>
  <sheetData>
    <row r="1" spans="1:13">
      <c r="A1" s="62" t="s">
        <v>107</v>
      </c>
      <c r="B1" s="63" t="s">
        <v>97</v>
      </c>
      <c r="C1" s="63" t="s">
        <v>98</v>
      </c>
      <c r="D1" s="63" t="s">
        <v>99</v>
      </c>
      <c r="E1" s="63" t="s">
        <v>100</v>
      </c>
      <c r="F1" s="63" t="s">
        <v>101</v>
      </c>
      <c r="G1" s="63" t="s">
        <v>102</v>
      </c>
      <c r="H1" s="63" t="s">
        <v>103</v>
      </c>
      <c r="I1" s="63" t="s">
        <v>111</v>
      </c>
      <c r="J1" s="63" t="s">
        <v>104</v>
      </c>
      <c r="K1" s="63" t="s">
        <v>105</v>
      </c>
      <c r="L1" s="63" t="s">
        <v>106</v>
      </c>
      <c r="M1" s="65" t="s">
        <v>114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5DA6-6916-4546-8567-70C902EAC3BC}">
  <dimension ref="A1:H1"/>
  <sheetViews>
    <sheetView workbookViewId="0">
      <selection activeCell="A2" sqref="A2"/>
    </sheetView>
  </sheetViews>
  <sheetFormatPr baseColWidth="10" defaultRowHeight="12.75"/>
  <cols>
    <col min="1" max="1" width="15.85546875" customWidth="1"/>
    <col min="2" max="2" width="14.85546875" customWidth="1"/>
    <col min="3" max="3" width="11.7109375" customWidth="1"/>
    <col min="6" max="6" width="15.140625" customWidth="1"/>
    <col min="7" max="7" width="22" customWidth="1"/>
    <col min="8" max="8" width="21.7109375" style="43" customWidth="1"/>
  </cols>
  <sheetData>
    <row r="1" spans="1:8">
      <c r="A1" t="s">
        <v>108</v>
      </c>
      <c r="B1" t="s">
        <v>109</v>
      </c>
      <c r="C1" t="s">
        <v>104</v>
      </c>
      <c r="D1" t="s">
        <v>110</v>
      </c>
      <c r="E1" t="s">
        <v>103</v>
      </c>
      <c r="F1" t="s">
        <v>111</v>
      </c>
      <c r="G1" t="s">
        <v>98</v>
      </c>
      <c r="H1" s="43" t="s">
        <v>112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C39"/>
  <sheetViews>
    <sheetView zoomScale="85" zoomScaleNormal="85" workbookViewId="0">
      <selection activeCell="H48" sqref="H48"/>
    </sheetView>
  </sheetViews>
  <sheetFormatPr baseColWidth="10" defaultRowHeight="12.75"/>
  <cols>
    <col min="1" max="1" width="16.42578125" customWidth="1"/>
    <col min="2" max="2" width="7.42578125" bestFit="1" customWidth="1"/>
    <col min="3" max="3" width="29.85546875" bestFit="1" customWidth="1"/>
  </cols>
  <sheetData>
    <row r="1" spans="1:3">
      <c r="A1" t="s">
        <v>67</v>
      </c>
    </row>
    <row r="2" spans="1:3" ht="15.75" customHeight="1">
      <c r="A2">
        <v>390</v>
      </c>
      <c r="B2" t="s">
        <v>68</v>
      </c>
      <c r="C2" t="s">
        <v>69</v>
      </c>
    </row>
    <row r="3" spans="1:3">
      <c r="A3">
        <v>391</v>
      </c>
      <c r="B3" t="s">
        <v>68</v>
      </c>
    </row>
    <row r="4" spans="1:3">
      <c r="A4">
        <v>392</v>
      </c>
      <c r="B4" t="s">
        <v>68</v>
      </c>
    </row>
    <row r="5" spans="1:3">
      <c r="A5">
        <v>393</v>
      </c>
      <c r="B5" t="s">
        <v>68</v>
      </c>
    </row>
    <row r="6" spans="1:3">
      <c r="A6">
        <v>394</v>
      </c>
      <c r="B6" t="s">
        <v>68</v>
      </c>
    </row>
    <row r="7" spans="1:3">
      <c r="A7">
        <v>395</v>
      </c>
      <c r="B7" t="s">
        <v>68</v>
      </c>
    </row>
    <row r="8" spans="1:3">
      <c r="A8">
        <v>396</v>
      </c>
      <c r="B8" t="s">
        <v>68</v>
      </c>
    </row>
    <row r="9" spans="1:3">
      <c r="A9">
        <v>397</v>
      </c>
      <c r="B9" t="s">
        <v>68</v>
      </c>
    </row>
    <row r="10" spans="1:3">
      <c r="A10">
        <v>398</v>
      </c>
      <c r="B10" t="s">
        <v>68</v>
      </c>
    </row>
    <row r="11" spans="1:3">
      <c r="A11">
        <v>399</v>
      </c>
      <c r="B11" t="s">
        <v>68</v>
      </c>
    </row>
    <row r="12" spans="1:3" ht="15.75" customHeight="1">
      <c r="A12">
        <v>321</v>
      </c>
      <c r="B12" t="s">
        <v>68</v>
      </c>
      <c r="C12" t="s">
        <v>70</v>
      </c>
    </row>
    <row r="13" spans="1:3">
      <c r="A13">
        <v>322</v>
      </c>
      <c r="B13" t="s">
        <v>68</v>
      </c>
    </row>
    <row r="14" spans="1:3">
      <c r="A14">
        <v>341</v>
      </c>
      <c r="B14" t="s">
        <v>68</v>
      </c>
      <c r="C14" t="s">
        <v>71</v>
      </c>
    </row>
    <row r="15" spans="1:3">
      <c r="A15">
        <v>343</v>
      </c>
      <c r="B15" t="s">
        <v>68</v>
      </c>
    </row>
    <row r="16" spans="1:3">
      <c r="A16">
        <v>349</v>
      </c>
      <c r="B16" t="s">
        <v>68</v>
      </c>
    </row>
    <row r="17" spans="1:3">
      <c r="A17">
        <v>351</v>
      </c>
      <c r="B17" t="s">
        <v>68</v>
      </c>
      <c r="C17" t="s">
        <v>72</v>
      </c>
    </row>
    <row r="18" spans="1:3">
      <c r="A18">
        <v>375</v>
      </c>
      <c r="B18" t="s">
        <v>68</v>
      </c>
      <c r="C18" t="s">
        <v>73</v>
      </c>
    </row>
    <row r="19" spans="1:3">
      <c r="A19">
        <v>376</v>
      </c>
      <c r="B19" t="s">
        <v>68</v>
      </c>
    </row>
    <row r="20" spans="1:3">
      <c r="A20">
        <v>377</v>
      </c>
      <c r="B20" t="s">
        <v>68</v>
      </c>
    </row>
    <row r="21" spans="1:3" ht="15.75" customHeight="1">
      <c r="A21">
        <v>378</v>
      </c>
      <c r="B21" t="s">
        <v>68</v>
      </c>
    </row>
    <row r="22" spans="1:3">
      <c r="A22">
        <v>379</v>
      </c>
      <c r="B22" t="s">
        <v>68</v>
      </c>
    </row>
    <row r="23" spans="1:3">
      <c r="A23">
        <v>580</v>
      </c>
      <c r="B23" t="s">
        <v>68</v>
      </c>
      <c r="C23" t="s">
        <v>74</v>
      </c>
    </row>
    <row r="24" spans="1:3">
      <c r="A24">
        <v>581</v>
      </c>
      <c r="B24" t="s">
        <v>68</v>
      </c>
    </row>
    <row r="25" spans="1:3">
      <c r="A25">
        <v>582</v>
      </c>
      <c r="B25" t="s">
        <v>68</v>
      </c>
    </row>
    <row r="26" spans="1:3">
      <c r="A26">
        <v>583</v>
      </c>
      <c r="B26" t="s">
        <v>68</v>
      </c>
    </row>
    <row r="27" spans="1:3">
      <c r="A27">
        <v>584</v>
      </c>
      <c r="B27" t="s">
        <v>68</v>
      </c>
    </row>
    <row r="28" spans="1:3">
      <c r="A28">
        <v>585</v>
      </c>
      <c r="B28" t="s">
        <v>68</v>
      </c>
    </row>
    <row r="29" spans="1:3">
      <c r="A29">
        <v>586</v>
      </c>
      <c r="B29" t="s">
        <v>68</v>
      </c>
    </row>
    <row r="30" spans="1:3">
      <c r="A30">
        <v>587</v>
      </c>
      <c r="B30" t="s">
        <v>68</v>
      </c>
    </row>
    <row r="31" spans="1:3">
      <c r="A31">
        <v>588</v>
      </c>
      <c r="B31" t="s">
        <v>68</v>
      </c>
    </row>
    <row r="32" spans="1:3">
      <c r="A32">
        <v>589</v>
      </c>
      <c r="B32" t="s">
        <v>68</v>
      </c>
    </row>
    <row r="33" spans="1:3">
      <c r="A33">
        <v>590</v>
      </c>
      <c r="B33" t="s">
        <v>68</v>
      </c>
    </row>
    <row r="34" spans="1:3">
      <c r="A34">
        <v>592</v>
      </c>
      <c r="B34" t="s">
        <v>68</v>
      </c>
      <c r="C34" t="s">
        <v>75</v>
      </c>
    </row>
    <row r="35" spans="1:3">
      <c r="A35">
        <v>593</v>
      </c>
      <c r="B35" t="s">
        <v>68</v>
      </c>
    </row>
    <row r="36" spans="1:3">
      <c r="A36">
        <v>594</v>
      </c>
      <c r="B36" t="s">
        <v>68</v>
      </c>
    </row>
    <row r="37" spans="1:3">
      <c r="A37">
        <v>595</v>
      </c>
      <c r="B37" t="s">
        <v>68</v>
      </c>
    </row>
    <row r="38" spans="1:3">
      <c r="A38">
        <v>596</v>
      </c>
      <c r="B38" t="s">
        <v>68</v>
      </c>
    </row>
    <row r="39" spans="1:3">
      <c r="A39">
        <v>598</v>
      </c>
      <c r="B39" t="s">
        <v>68</v>
      </c>
    </row>
  </sheetData>
  <pageMargins left="0.7" right="0.7" top="0.75" bottom="0.75" header="0.3" footer="0.3"/>
  <pageSetup paperSize="9" orientation="portrait" r:id="rId1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opLeftCell="A5" zoomScale="115" zoomScaleNormal="115" workbookViewId="0">
      <selection activeCell="A20" sqref="A20"/>
    </sheetView>
  </sheetViews>
  <sheetFormatPr baseColWidth="10" defaultRowHeight="12.75"/>
  <cols>
    <col min="1" max="1" width="37.5703125" customWidth="1"/>
    <col min="3" max="3" width="15.42578125" style="43" bestFit="1" customWidth="1"/>
    <col min="4" max="4" width="15.42578125" style="43" customWidth="1"/>
  </cols>
  <sheetData>
    <row r="1" spans="1:4">
      <c r="A1" t="s">
        <v>82</v>
      </c>
    </row>
    <row r="2" spans="1:4">
      <c r="A2" t="s">
        <v>83</v>
      </c>
    </row>
    <row r="3" spans="1:4">
      <c r="A3" t="s">
        <v>77</v>
      </c>
    </row>
    <row r="4" spans="1:4">
      <c r="A4" t="s">
        <v>78</v>
      </c>
    </row>
    <row r="5" spans="1:4">
      <c r="A5" t="s">
        <v>79</v>
      </c>
    </row>
    <row r="6" spans="1:4">
      <c r="A6" t="s">
        <v>80</v>
      </c>
    </row>
    <row r="7" spans="1:4">
      <c r="A7" t="s">
        <v>81</v>
      </c>
    </row>
    <row r="8" spans="1:4">
      <c r="B8" t="s">
        <v>84</v>
      </c>
    </row>
    <row r="9" spans="1:4">
      <c r="B9">
        <v>21</v>
      </c>
      <c r="C9" s="43">
        <v>39739502.629999973</v>
      </c>
    </row>
    <row r="10" spans="1:4">
      <c r="B10">
        <v>22</v>
      </c>
      <c r="C10" s="43">
        <v>13316793.939999998</v>
      </c>
    </row>
    <row r="11" spans="1:4">
      <c r="B11">
        <v>23</v>
      </c>
      <c r="C11" s="43">
        <v>4640149.41</v>
      </c>
    </row>
    <row r="12" spans="1:4">
      <c r="B12">
        <v>24</v>
      </c>
      <c r="C12" s="43">
        <v>12066862.579999994</v>
      </c>
    </row>
    <row r="13" spans="1:4">
      <c r="B13">
        <v>25</v>
      </c>
      <c r="C13" s="43">
        <v>6843171.2199999988</v>
      </c>
    </row>
    <row r="14" spans="1:4">
      <c r="B14">
        <v>26</v>
      </c>
      <c r="C14" s="43">
        <v>25130461.93</v>
      </c>
      <c r="D14" s="44"/>
    </row>
    <row r="15" spans="1:4">
      <c r="B15">
        <v>27</v>
      </c>
      <c r="C15" s="43">
        <v>86132433.439999968</v>
      </c>
    </row>
    <row r="17" spans="2:4">
      <c r="B17">
        <v>29</v>
      </c>
      <c r="C17" s="43">
        <v>29613429.400000006</v>
      </c>
    </row>
    <row r="18" spans="2:4" ht="15.75" customHeight="1"/>
    <row r="19" spans="2:4">
      <c r="B19">
        <v>31</v>
      </c>
      <c r="C19" s="43">
        <v>48315774.910000004</v>
      </c>
      <c r="D19" s="44"/>
    </row>
    <row r="20" spans="2:4">
      <c r="B20">
        <v>32</v>
      </c>
      <c r="C20" s="43">
        <v>95483493.949999988</v>
      </c>
    </row>
    <row r="21" spans="2:4">
      <c r="B21">
        <v>33</v>
      </c>
      <c r="C21" s="43">
        <v>225839365.83999991</v>
      </c>
      <c r="D21" s="44"/>
    </row>
    <row r="22" spans="2:4">
      <c r="B22">
        <v>34</v>
      </c>
      <c r="C22" s="43">
        <v>56875979.390000001</v>
      </c>
    </row>
    <row r="23" spans="2:4">
      <c r="B23">
        <v>35</v>
      </c>
      <c r="C23" s="43">
        <v>60437637.870000005</v>
      </c>
      <c r="D23" s="44"/>
    </row>
    <row r="24" spans="2:4">
      <c r="B24">
        <v>36</v>
      </c>
      <c r="C24" s="43">
        <v>6229165.3300000001</v>
      </c>
    </row>
    <row r="25" spans="2:4">
      <c r="B25">
        <v>37</v>
      </c>
      <c r="C25" s="43">
        <v>12716071.870000001</v>
      </c>
      <c r="D25" s="44"/>
    </row>
    <row r="26" spans="2:4">
      <c r="B26">
        <v>38</v>
      </c>
      <c r="C26" s="43">
        <v>9941504.9100000001</v>
      </c>
      <c r="D26" s="44"/>
    </row>
    <row r="27" spans="2:4" ht="15.75" customHeight="1"/>
    <row r="33" spans="2:3">
      <c r="B33">
        <v>56</v>
      </c>
      <c r="C33" s="43">
        <v>816727.96</v>
      </c>
    </row>
  </sheetData>
  <sortState xmlns:xlrd2="http://schemas.microsoft.com/office/spreadsheetml/2017/richdata2" ref="A1:A38">
    <sortCondition ref="A1"/>
  </sortState>
  <pageMargins left="0.7" right="0.7" top="0.75" bottom="0.75" header="0.3" footer="0.3"/>
  <pageSetup orientation="portrait" r:id="rId1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18"/>
  <sheetViews>
    <sheetView workbookViewId="0">
      <selection activeCell="E21" sqref="E21"/>
    </sheetView>
  </sheetViews>
  <sheetFormatPr baseColWidth="10" defaultRowHeight="12.75"/>
  <cols>
    <col min="3" max="3" width="19.85546875" bestFit="1" customWidth="1"/>
    <col min="7" max="7" width="14.28515625" bestFit="1" customWidth="1"/>
  </cols>
  <sheetData>
    <row r="2" spans="2:7">
      <c r="B2" t="s">
        <v>87</v>
      </c>
    </row>
    <row r="4" spans="2:7">
      <c r="B4" t="s">
        <v>94</v>
      </c>
    </row>
    <row r="5" spans="2:7" ht="21.75" customHeight="1">
      <c r="B5" s="46">
        <v>32</v>
      </c>
      <c r="C5" s="47">
        <v>18340038.399999999</v>
      </c>
      <c r="G5" s="42"/>
    </row>
    <row r="6" spans="2:7" ht="21.75" customHeight="1">
      <c r="B6" s="46">
        <v>34</v>
      </c>
      <c r="C6" s="47">
        <v>10074.32</v>
      </c>
      <c r="G6" s="42"/>
    </row>
    <row r="7" spans="2:7" ht="21.75" customHeight="1">
      <c r="B7" s="46">
        <v>35</v>
      </c>
      <c r="C7" s="47">
        <v>1481117.4</v>
      </c>
      <c r="G7" s="42"/>
    </row>
    <row r="8" spans="2:7" ht="21.75" customHeight="1">
      <c r="B8" s="46">
        <v>37</v>
      </c>
      <c r="C8" s="47">
        <v>71824232.900000036</v>
      </c>
      <c r="G8" s="42"/>
    </row>
    <row r="9" spans="2:7" ht="21.75" customHeight="1">
      <c r="B9" s="46">
        <v>39</v>
      </c>
      <c r="C9" s="47">
        <v>34346344.049999997</v>
      </c>
      <c r="G9" s="42"/>
    </row>
    <row r="10" spans="2:7" ht="21.75" customHeight="1">
      <c r="B10" s="48" t="s">
        <v>86</v>
      </c>
      <c r="C10" s="49">
        <v>126001807.07000004</v>
      </c>
      <c r="G10" s="42"/>
    </row>
    <row r="12" spans="2:7" ht="21.75" customHeight="1">
      <c r="B12" s="115" t="s">
        <v>88</v>
      </c>
      <c r="C12" s="115"/>
      <c r="D12" s="115"/>
      <c r="E12" s="115"/>
      <c r="F12" s="115"/>
      <c r="G12" s="115"/>
    </row>
    <row r="13" spans="2:7">
      <c r="B13" s="50"/>
    </row>
    <row r="14" spans="2:7" ht="21.75" customHeight="1">
      <c r="B14" s="50" t="s">
        <v>93</v>
      </c>
    </row>
    <row r="15" spans="2:7" ht="21.75" customHeight="1">
      <c r="B15" s="50" t="s">
        <v>89</v>
      </c>
    </row>
    <row r="16" spans="2:7" ht="21.75" customHeight="1">
      <c r="B16" s="50" t="s">
        <v>91</v>
      </c>
    </row>
    <row r="17" spans="2:2" ht="21.75" customHeight="1">
      <c r="B17" s="50" t="s">
        <v>90</v>
      </c>
    </row>
    <row r="18" spans="2:2" ht="21.75" customHeight="1">
      <c r="B18" s="50" t="s">
        <v>92</v>
      </c>
    </row>
  </sheetData>
  <mergeCells count="1">
    <mergeCell ref="B12:G12"/>
  </mergeCells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30_70 (Miles)</vt:lpstr>
      <vt:lpstr>30_70 (Millones)</vt:lpstr>
      <vt:lpstr>Contratos</vt:lpstr>
      <vt:lpstr>Pedidos</vt:lpstr>
      <vt:lpstr>PagosDirectos</vt:lpstr>
      <vt:lpstr>Excepciones</vt:lpstr>
      <vt:lpstr>exepciones</vt:lpstr>
      <vt:lpstr>consideraciones</vt:lpstr>
      <vt:lpstr>'30_70 (Miles)'!Área_de_impresión</vt:lpstr>
      <vt:lpstr>'30_70 (Millones)'!Área_de_impresión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Adq</dc:creator>
  <cp:lastModifiedBy>Humberto Rene Farias Rojas</cp:lastModifiedBy>
  <cp:lastPrinted>2018-10-02T22:51:59Z</cp:lastPrinted>
  <dcterms:created xsi:type="dcterms:W3CDTF">2017-01-11T15:42:12Z</dcterms:created>
  <dcterms:modified xsi:type="dcterms:W3CDTF">2025-06-02T15:44:56Z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2025-04-11T15:26:55Z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80f6f02b-c2df-4a5f-b0ce-b9cdc4d6ae0e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