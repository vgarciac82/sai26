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Axtel\Workspace\sai\WebContent\Reportes\"/>
    </mc:Choice>
  </mc:AlternateContent>
  <xr:revisionPtr revIDLastSave="0" documentId="13_ncr:1_{D62CC86B-0E14-4066-A018-450E80F2BC6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ntenido" sheetId="1" r:id="rId1"/>
    <sheet name="INDICADOR PORCENTAJE" sheetId="2" r:id="rId2"/>
    <sheet name="INDICADOR DISTRIBUCION" sheetId="3" r:id="rId3"/>
    <sheet name="INDICADOR PROMEDIO" sheetId="4" r:id="rId4"/>
    <sheet name="Concentrado_Contrataciones" sheetId="5" r:id="rId5"/>
    <sheet name="Contratos SAI_ADQ" sheetId="6" state="hidden" r:id="rId6"/>
    <sheet name="Contratos SAI_OBRA" sheetId="7" state="hidden" r:id="rId7"/>
    <sheet name="Contratos Ambiental_ADQ" sheetId="8" state="hidden" r:id="rId8"/>
    <sheet name="Contratos Fonden_OBRA" sheetId="9" state="hidden" r:id="rId9"/>
  </sheets>
  <definedNames>
    <definedName name="_xlnm._FilterDatabase" localSheetId="0" hidden="1">Contenido!$A$1:$F$15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J4" i="2"/>
  <c r="F5" i="5"/>
  <c r="J8" i="2"/>
  <c r="J7" i="2"/>
  <c r="G5" i="5"/>
  <c r="K4" i="4"/>
  <c r="K3" i="4"/>
  <c r="E4" i="5"/>
  <c r="D4" i="5"/>
  <c r="D3" i="5"/>
  <c r="D2" i="5"/>
  <c r="C4" i="5"/>
  <c r="C3" i="5"/>
  <c r="C2" i="5"/>
  <c r="B3" i="5"/>
  <c r="B4" i="5"/>
  <c r="J6" i="2" l="1"/>
  <c r="K2" i="4"/>
  <c r="L5" i="5"/>
  <c r="M5" i="5"/>
  <c r="N5" i="5"/>
  <c r="O5" i="5"/>
  <c r="J5" i="5"/>
  <c r="K5" i="5"/>
  <c r="E5" i="5"/>
  <c r="C5" i="5"/>
  <c r="K4" i="3" s="1"/>
  <c r="H5" i="5"/>
  <c r="I5" i="5"/>
  <c r="B5" i="5"/>
  <c r="L2" i="3" s="1"/>
  <c r="M4" i="3" l="1"/>
  <c r="K2" i="3"/>
  <c r="L3" i="3"/>
  <c r="K3" i="3"/>
  <c r="L4" i="3"/>
  <c r="J2" i="2"/>
  <c r="J3" i="2"/>
  <c r="D5" i="5"/>
  <c r="M5" i="3" l="1"/>
  <c r="L5" i="3"/>
  <c r="K5" i="3"/>
</calcChain>
</file>

<file path=xl/sharedStrings.xml><?xml version="1.0" encoding="utf-8"?>
<sst xmlns="http://schemas.openxmlformats.org/spreadsheetml/2006/main" count="309" uniqueCount="133">
  <si>
    <t>Número</t>
  </si>
  <si>
    <t>Indicador</t>
  </si>
  <si>
    <t>Objetivo / alcance</t>
  </si>
  <si>
    <t>Nivel de desagregación</t>
  </si>
  <si>
    <t>Tipo de indicador</t>
  </si>
  <si>
    <t>Comentario</t>
  </si>
  <si>
    <t>Medir la proporción de contratos derivados de procedimientos competidos que carecen del registro de propuestas recibidas a fin de fomentar el registro adecuado de cada una de las propuestas recibidas y con ello abonar a la transparencia</t>
  </si>
  <si>
    <t>Porcentaje de procedimientos de licitación pública adjudicados</t>
  </si>
  <si>
    <t>Medir la proporción de procedimientos declarados adjudicados fin de medir la efectividad de las áreas responsables de los procesos de contratación</t>
  </si>
  <si>
    <t>Porcentaje de procedimientos de invitación a cuando menos tres personas adjudicados</t>
  </si>
  <si>
    <t>Cuantificar el número de propuestas recibidas y registradas en CompraNet por procedimiento de contratación a fin de evaluar el nivel de competencia en procedimientos de licitación pública</t>
  </si>
  <si>
    <t>Cuantificar el número de propuestas recibidas y registradas en CompraNet por procedimiento de contratación a fin de evaluar el nivel de competencia en procedimientos de invitación a cuando menos tres personas</t>
  </si>
  <si>
    <t>Promedio de invitados en procedimientos de invitación a cuando menos tres personas</t>
  </si>
  <si>
    <t>Cuantificar el número de invitados y registrados en CompraNet por procedimiento de contratación a fin de evaluar el nivel de participación en procedimientos de invitación a cuando menos tres personas</t>
  </si>
  <si>
    <t>Porcentaje de procedimientos de licitación pública concluidos con posibilidad de participación electrónica en procedimientos de la LAASSP</t>
  </si>
  <si>
    <t xml:space="preserve">El uso de CompraNet es una regla, la normatividad aplicable en la materia permite la recepción de propuestas de manera presencial; es importante medir quien utiliza la herramienta electrónica para la recepción de propuestas. </t>
  </si>
  <si>
    <t>Porcentaje de procedimientos de invitación a cuando menos tres personas concluidos con posibilidad de participación electrónica en procedimientos de la LAASSP</t>
  </si>
  <si>
    <t>Identificar la distribución porcentual de la adjudicación de contratos por tipo de procedimiento</t>
  </si>
  <si>
    <t>Dependencia</t>
  </si>
  <si>
    <t>Medir la proporción de contratos que cuentan con el detalle pormenorizado de la contratación a fin de fomentar el registro adecuado de cada una de las partidas o conceptos de obra que componen el contrato y con ello abonar a la transparencia</t>
  </si>
  <si>
    <t>El registro computable de las propuestas recibidas coadyuva a la transparencia, al mismo tiempo que aporta información necesaria para la toma de decisiones.</t>
  </si>
  <si>
    <t>Un procedimiento no adjudicado da cuenta de una definición errónea del objeto de la contratación y/o bien de una investigación de mercado deficiente.</t>
  </si>
  <si>
    <t>El registro computable de las propuestas recibidas coadyuva a la transparencia, al mismo tiempo que aporta información necesaria para medir el nivel de participación.</t>
  </si>
  <si>
    <t>Medir la proporción de procedimientos de licitación pública al amparo de la LAASSP y que han sido gestionados a través de CompraNet en comparación con el total de procedimientos de licitación pública realizados por la institución a fin de fomentar el uso de medios electrónicos</t>
  </si>
  <si>
    <t>Medir la proporción de procedimientos de invitación a cuando menos tres personas al amparo de la LAASSP y que han sido gestionados a través de CompraNet en comparación con el total de procedimientos de invitación a cuando menos tres personas realizados por la institución a fin de fomentar el uso de medios electrónicos</t>
  </si>
  <si>
    <t>Distribución de supuestos de excepción a la licitación pública al amparo de la LAASSP</t>
  </si>
  <si>
    <t>Identificar los supuestos de excepción a la licitación pública más recurrentes en aquellos procesos realizados al amparo de la LAASSP a fin de identificar patrones de comportamiento que pudieran limitar la competencia</t>
  </si>
  <si>
    <t xml:space="preserve">El procedimiento preferente en las contrataciones públicas es la licitación pública; sin embargo la normatividad aplicable permite que haya excepciones a fin de garantizar las mejores condiciones para el Estado, es importante conocer cuáles son esos supuestos de excepción </t>
  </si>
  <si>
    <t>Distribución de supuestos de excepción a la licitación pública al amparo de la LOPSRM</t>
  </si>
  <si>
    <t>Identificar los supuestos de excepción a la licitación pública más recurrentes en aquellos procesos realizados al amparo de la LOPSRM a fin de identificar patrones de comportamiento que pudieran limitar la competencia</t>
  </si>
  <si>
    <t>Distribución de las contrataciones por tipo de procedimiento en términos de número de contratos</t>
  </si>
  <si>
    <t>Distribución de las contrataciones por tipo de procedimiento en términos de monto de los contratos</t>
  </si>
  <si>
    <t>Promedio de proposiciones recibidas y registradas de manera computable en procedimientos de licitación pública</t>
  </si>
  <si>
    <t>Promedio de proposiciones recibidas y registradas de manera computable en procedimientos de invitación a cuando menos tres personas</t>
  </si>
  <si>
    <t>Transparencia</t>
  </si>
  <si>
    <t>Efectividad</t>
  </si>
  <si>
    <t>Competencia</t>
  </si>
  <si>
    <t>Uso de medios electrónicos</t>
  </si>
  <si>
    <t>Transparencia /
competencia</t>
  </si>
  <si>
    <t>Porcentaje de avance en la atención de incidencias de captura identificadas en CompraNet</t>
  </si>
  <si>
    <t>Medir en terminos relativos el grado de avance de atención de incidencias de captura identificadas en CompraNet</t>
  </si>
  <si>
    <t>En agosto de 2015 se implementó de manera automatizada el mecanismo de identificación de incidencias de captura en Compranet; actualmente se encuentran tipificados 14 elementos de captura o registro de información</t>
  </si>
  <si>
    <t>I.1</t>
  </si>
  <si>
    <t>I.2</t>
  </si>
  <si>
    <t>I.3</t>
  </si>
  <si>
    <t>I.4</t>
  </si>
  <si>
    <t>I.5</t>
  </si>
  <si>
    <t>I.6</t>
  </si>
  <si>
    <t>I.7</t>
  </si>
  <si>
    <t>I.8</t>
  </si>
  <si>
    <t>I.9</t>
  </si>
  <si>
    <t>I.10</t>
  </si>
  <si>
    <t>I.11</t>
  </si>
  <si>
    <t>I.12</t>
  </si>
  <si>
    <t>I.13</t>
  </si>
  <si>
    <t>I.14</t>
  </si>
  <si>
    <t>Un procedimiento no adjudicado da cuenta, en la mayoría de los casos, de una definición errónea del objeto de la contratación y/o bien de una investigación de mercado deficiente.</t>
  </si>
  <si>
    <t>El registro computable de los licitantes invitados coadyuva a la transparencia, al mismo tiempo que aporta información necesaria para medir el nivel de participación.</t>
  </si>
  <si>
    <t>En el caso de la CONAFOR más del 95 por ciento de las contrataciones se realizan de manera electrónica</t>
  </si>
  <si>
    <t xml:space="preserve">Porcentaje de avance al cierre del trimestre </t>
  </si>
  <si>
    <t>Periodo</t>
  </si>
  <si>
    <t xml:space="preserve">Acciones </t>
  </si>
  <si>
    <t xml:space="preserve">Acumulado histórico COMPRANET </t>
  </si>
  <si>
    <t>La captura del detalle pormenorizado de la contratación es fundamental para las investigaciones de mercado, al mismo tiempo que abona a la transparencia y rendición de cuentas</t>
  </si>
  <si>
    <t>Se muestra la distribución de los contratos por tipo de procedimiento en términos de número de contratos</t>
  </si>
  <si>
    <t>Se muestra la distribución de los contratos por tipo de procedimiento en términos de importe de contratos</t>
  </si>
  <si>
    <t>Porcentaje de contratos reportados en CompraNet con detalle de partidas / concepto de obra</t>
  </si>
  <si>
    <t>Porcentaje de contratos derivados de procedimientos competidos con propuestas capturadas en CompraNet</t>
  </si>
  <si>
    <t xml:space="preserve">Se instruyó a los usuarios del sistema para que en los datos relevantes del contrato se registre de manera pormenorizada las partidas y/o conceptos objeto de la contratación. </t>
  </si>
  <si>
    <t>Los procedimientos de contratación se realizan en su mayoría de manera electrónica; existen procedientos mixtos, en cuyos casos la información de propuesta del licitante  se carga al sistema para efectos de dar mayor transparencia al procedimiento de contratación del que se trate.</t>
  </si>
  <si>
    <t>Se analizan los casos en los que se declaran desiertas partidas y procesos con la finalidad de mejorar las investigaciones de mercado y/o clarificar de la mejor manera las convocatorias, esto con excepción a las omisiones en que incurran los licitantes.</t>
  </si>
  <si>
    <t>Se cuenta con registro de procedimientos y contratos formalizados en los que se identifica la cantidad de los mismos.</t>
  </si>
  <si>
    <t>Atendiendo al monto de actuación, se llevó a cabo un proeceso de adjudicación directa previsto en el artículo 43 de la LOPSRM.</t>
  </si>
  <si>
    <t xml:space="preserve">Las fracciones más recurrentes que se utilizan en este tipo de contrataciones son del artículo 41, las fracciones  I, V, VII,XIV y XX,
artículo 42 párrafo primero, segundo y quinto de la LAASSP,
</t>
  </si>
  <si>
    <t xml:space="preserve">Se realiza de manera permanente la revisión de los requisitos y necesidades de las áreas requirentes, en aras de realizar las convocatorias para los procedimientos de contratación de forma clara y precisa, con la finalidad de promover la mayor  participación por parte de los posibles proveedores. </t>
  </si>
  <si>
    <t>Se realizó un proceso registrado en éste periodo es derivado de contrato marco, por lo que se  realiza la difusión de las invitaciones a la totalidad de proveedores adheridos con la finalidad de llevar a cabo el procedimiento más transparente, eficaces y buscando en todo momento las mejores condiciones para la adquisición de bienes, arrendamientos y/o servicios.</t>
  </si>
  <si>
    <t>Se realizó un proceso de Licitación Pública, adjudicando todas y cada una de sus partidas.</t>
  </si>
  <si>
    <t>4to trimestre</t>
  </si>
  <si>
    <t>Se lleva a cabo la atención de las incidencias, realizando la notificación correspondiente a las Gerencias Estatales mediante correo electrónico para la atención y apoyo correspondiente a efecto de llevar el control y solventación de las observaciones formuladas; así mismo se detonaron incidencias conforme al oficio No. 700.2020.0585 de la Oficialia Mayor donde se debera integrar informació adicional a cada expediente de enero 2020 a la fecha</t>
  </si>
  <si>
    <t>+</t>
  </si>
  <si>
    <t>Metodo de Calculo</t>
  </si>
  <si>
    <t>(Total de contratos reportados en CompraNet/ Contratos con detalle de partidas/concepto obra) * 100</t>
  </si>
  <si>
    <t>(Total de contratos reportados en CompraNet/ contratos derivados de procedimientos competidos con propuestas capturadas en CompraNet) * 100</t>
  </si>
  <si>
    <t>(Total de procedimeintos reportados en CompraNet/ procedimientos de licitación pública adjudicados en CompraNet) * 100</t>
  </si>
  <si>
    <t>(Total de procedimeintos reportados en CompraNet/ procedimientos de ICMTP adjudicados en CompraNet) * 100</t>
  </si>
  <si>
    <t>(Total de incidencias de captura identificadas en CompraNet/ incidencias atendidas en el trimestre) * 100</t>
  </si>
  <si>
    <t>(Total de procedimeintosde LP/ procedimientos de LP electronicos) * 100</t>
  </si>
  <si>
    <t>(Total de procedimeintos de icmtp/ procedimientos de icmtp electronicos) * 100</t>
  </si>
  <si>
    <t>(Cantidad de excepciones por cada articulo y fraccion/Total de procedimientos por excepcion) * 100</t>
  </si>
  <si>
    <t>(Cantidad de contratos por tipo de procedimiento/Total de procedimientos ) * 100</t>
  </si>
  <si>
    <t>(Sumatoria Importe de contratos por tipo de procedimiento/sumatoria Total de procedimientos ) * 100</t>
  </si>
  <si>
    <t xml:space="preserve">(Total de invitados de icmtp/ numero total de procedimientos ICMTP) </t>
  </si>
  <si>
    <t xml:space="preserve">(Total de proposiciones de icmtp/ numero total de procedimientos ICMTP) </t>
  </si>
  <si>
    <t xml:space="preserve">(Total de proposiciones de LP/ numero total de procedimientos LP) </t>
  </si>
  <si>
    <t>Tipo de Procedimiento</t>
  </si>
  <si>
    <t>Licitación Pública</t>
  </si>
  <si>
    <t>Adjudicación Directa</t>
  </si>
  <si>
    <t xml:space="preserve">Invitación a Tres Personas </t>
  </si>
  <si>
    <t>Promedio</t>
  </si>
  <si>
    <t>Total</t>
  </si>
  <si>
    <t>Porcentaje de  Adjudicación Directa</t>
  </si>
  <si>
    <t>Porcentaje de ICM3P</t>
  </si>
  <si>
    <t>Porcentaje de LP</t>
  </si>
  <si>
    <t>N/A</t>
  </si>
  <si>
    <t>RFC</t>
  </si>
  <si>
    <t>Cantidad de excepciones a LP LAASSP</t>
  </si>
  <si>
    <t>Cantidad de Contrataciones LAASSP</t>
  </si>
  <si>
    <t>Total de propuestas recibidas y registradas en CompraNet LAASSP</t>
  </si>
  <si>
    <t>Total de invitados y registrados en CompraNet LAASSP</t>
  </si>
  <si>
    <t>Cantidad de excepciones a LP LOPSRM</t>
  </si>
  <si>
    <t>Cantidad de contratos reportados en CNET</t>
  </si>
  <si>
    <t>Cantidad de contratos con detalle de partida en CNET</t>
  </si>
  <si>
    <t>Cantidad de contratos con propuestas capturadas en CNET</t>
  </si>
  <si>
    <t>Cantidad de incidencias atendidas en el trimestre</t>
  </si>
  <si>
    <t>Cantidad de incidencias de captura identificadas en CompraNet</t>
  </si>
  <si>
    <t>Total Contratado con IVA LAASSP</t>
  </si>
  <si>
    <t>Contrato_SAI</t>
  </si>
  <si>
    <t>Contrato_CNET</t>
  </si>
  <si>
    <t>Procedimiento_CNET</t>
  </si>
  <si>
    <t>Fecha_Formalizacion</t>
  </si>
  <si>
    <t>Fundamento_Legal</t>
  </si>
  <si>
    <t>Tipo_Procedimiento</t>
  </si>
  <si>
    <t>Total_Contrato</t>
  </si>
  <si>
    <t>nIdCategoria</t>
  </si>
  <si>
    <t>Número Total de Procedimientos</t>
  </si>
  <si>
    <t>Número Total de Procedimientos Adjucicados</t>
  </si>
  <si>
    <t>Cantidad de procedimientos electronicos</t>
  </si>
  <si>
    <t>Contratos de Adquisiciones SAI</t>
  </si>
  <si>
    <t>Contratos de Obra SAI</t>
  </si>
  <si>
    <t>Contratos de Adquisiciones SAI_Ambiental</t>
  </si>
  <si>
    <t>Contratos de Obra SAI Fonden</t>
  </si>
  <si>
    <t>(Total de procedimientos  reportados en CompraNet de licitación pública / procedimientos de licitación pública adjudicados en CompraNet) * 100</t>
  </si>
  <si>
    <t>(Total de procedimientos  reportados en CompraNet/ procedimientos de ICMTP adjudicados en CompraNet)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</si>
</sst>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8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Montserrat"/>
    </font>
    <font>
      <sz val="12"/>
      <color theme="1"/>
      <name val="Montserrat"/>
    </font>
    <font>
      <sz val="9"/>
      <color rgb="FF000000"/>
      <name val="Montserrat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7" fillId="4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3" fontId="0" fillId="0" borderId="0" xfId="1" applyFont="1"/>
    <xf numFmtId="0" fontId="6" fillId="0" borderId="0" xfId="0" applyFont="1"/>
    <xf numFmtId="14" fontId="0" fillId="0" borderId="0" xfId="0" applyNumberFormat="1"/>
    <xf numFmtId="0" fontId="0" fillId="0" borderId="0" xfId="1" applyNumberFormat="1" applyFont="1"/>
    <xf numFmtId="44" fontId="0" fillId="0" borderId="0" xfId="0" applyNumberFormat="1"/>
    <xf numFmtId="44" fontId="0" fillId="0" borderId="0" xfId="2" applyFont="1"/>
    <xf numFmtId="0" fontId="0" fillId="0" borderId="1" xfId="0" applyBorder="1"/>
    <xf numFmtId="9" fontId="0" fillId="0" borderId="1" xfId="3" applyFont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0" xfId="1" applyNumberFormat="1" applyFont="1"/>
    <xf numFmtId="0" fontId="7" fillId="4" borderId="0" xfId="4" applyAlignment="1">
      <alignment horizontal="center"/>
    </xf>
  </cellXfs>
  <cellStyles count="5">
    <cellStyle name="Bueno" xfId="4" builtinId="26"/>
    <cellStyle name="Millares" xfId="1" builtinId="3"/>
    <cellStyle name="Moneda" xfId="2" builtinId="4"/>
    <cellStyle name="Normal" xfId="0" builtinId="0"/>
    <cellStyle name="Porcentaje" xfId="3" builtinId="5"/>
  </cellStyles>
  <dxfs count="19">
    <dxf>
      <numFmt numFmtId="34" formatCode="_-&quot;$&quot;* #,##0.00_-;\-&quot;$&quot;* #,##0.00_-;_-&quot;$&quot;* &quot;-&quot;??_-;_-@_-"/>
    </dxf>
    <dxf>
      <numFmt numFmtId="34" formatCode="_-&quot;$&quot;* #,##0.00_-;\-&quot;$&quot;* #,##0.00_-;_-&quot;$&quot;* &quot;-&quot;??_-;_-@_-"/>
    </dxf>
    <dxf>
      <numFmt numFmtId="19" formatCode="dd/mm/yyyy"/>
    </dxf>
    <dxf>
      <numFmt numFmtId="34" formatCode="_-&quot;$&quot;* #,##0.00_-;\-&quot;$&quot;* #,##0.00_-;_-&quot;$&quot;* &quot;-&quot;??_-;_-@_-"/>
    </dxf>
    <dxf>
      <numFmt numFmtId="19" formatCode="dd/mm/yyyy"/>
    </dxf>
    <dxf>
      <numFmt numFmtId="34" formatCode="_-&quot;$&quot;* #,##0.00_-;\-&quot;$&quot;* #,##0.00_-;_-&quot;$&quot;* &quot;-&quot;??_-;_-@_-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1:O5" totalsRowShown="0">
  <autoFilter ref="A1:O5" xr:uid="{00000000-0009-0000-0100-000002000000}"/>
  <tableColumns count="15">
    <tableColumn id="1" xr3:uid="{00000000-0010-0000-0000-000001000000}" name="Tipo de Procedimiento"/>
    <tableColumn id="6" xr3:uid="{00000000-0010-0000-0000-000006000000}" name="Cantidad de excepciones a LP LAASSP" dataDxfId="18" dataCellStyle="Millares"/>
    <tableColumn id="2" xr3:uid="{00000000-0010-0000-0000-000002000000}" name="Cantidad de Contrataciones LAASSP" dataDxfId="17" dataCellStyle="Millares"/>
    <tableColumn id="3" xr3:uid="{00000000-0010-0000-0000-000003000000}" name="Total Contratado con IVA LAASSP" dataCellStyle="Millares"/>
    <tableColumn id="7" xr3:uid="{00000000-0010-0000-0000-000007000000}" name="Cantidad de excepciones a LP LOPSRM" dataDxfId="16" dataCellStyle="Millares"/>
    <tableColumn id="14" xr3:uid="{13E3BC21-1C38-4944-9D5C-8A10EA9EEF8C}" name="Número Total de Procedimientos" dataDxfId="15" dataCellStyle="Millares"/>
    <tableColumn id="15" xr3:uid="{51E4800F-E804-4489-8E70-0D4D484C526B}" name="Número Total de Procedimientos Adjucicados" dataDxfId="14" dataCellStyle="Millares"/>
    <tableColumn id="4" xr3:uid="{00000000-0010-0000-0000-000004000000}" name="Total de propuestas recibidas y registradas en CompraNet LAASSP" dataCellStyle="Millares"/>
    <tableColumn id="5" xr3:uid="{00000000-0010-0000-0000-000005000000}" name="Total de invitados y registrados en CompraNet LAASSP" dataDxfId="13" dataCellStyle="Millares"/>
    <tableColumn id="8" xr3:uid="{00000000-0010-0000-0000-000008000000}" name="Cantidad de contratos reportados en CNET" dataDxfId="12" dataCellStyle="Millares"/>
    <tableColumn id="9" xr3:uid="{00000000-0010-0000-0000-000009000000}" name="Cantidad de contratos con detalle de partida en CNET" dataDxfId="11" dataCellStyle="Millares"/>
    <tableColumn id="10" xr3:uid="{00000000-0010-0000-0000-00000A000000}" name="Cantidad de contratos con propuestas capturadas en CNET" dataDxfId="10" dataCellStyle="Millares"/>
    <tableColumn id="11" xr3:uid="{00000000-0010-0000-0000-00000B000000}" name="Cantidad de procedimientos electronicos" dataDxfId="9" dataCellStyle="Millares"/>
    <tableColumn id="12" xr3:uid="{00000000-0010-0000-0000-00000C000000}" name="Cantidad de incidencias de captura identificadas en CompraNet" dataDxfId="8" dataCellStyle="Millares"/>
    <tableColumn id="13" xr3:uid="{00000000-0010-0000-0000-00000D000000}" name="Cantidad de incidencias atendidas en el trimestre" dataDxfId="7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94BF42-CDD3-4FCD-837E-A0CB4603EB66}" name="Tabla37" displayName="Tabla37" ref="A2:I236" totalsRowShown="0">
  <autoFilter ref="A2:I236" xr:uid="{5D493CD6-D449-4A52-8EB0-DDEFE54302CF}"/>
  <tableColumns count="9">
    <tableColumn id="1" xr3:uid="{75BFB181-2C29-4338-97F8-B97FE1DB9396}" name="Contrato_SAI"/>
    <tableColumn id="2" xr3:uid="{5217BADC-8106-40FE-BCBB-D82724C1B11E}" name="Contrato_CNET"/>
    <tableColumn id="3" xr3:uid="{FE99CC32-DDD2-4AF6-813A-D43D44CADA27}" name="Procedimiento_CNET"/>
    <tableColumn id="4" xr3:uid="{E9D77D5F-FD99-4697-8CC8-BF3D53C1B9ED}" name="RFC"/>
    <tableColumn id="5" xr3:uid="{0922FFDD-8B91-41B4-A619-7B22AF8FDB2B}" name="Fecha_Formalizacion" dataDxfId="6"/>
    <tableColumn id="6" xr3:uid="{4D343CFF-A3AE-4AA2-9973-F9A598FA268E}" name="Fundamento_Legal"/>
    <tableColumn id="7" xr3:uid="{2256CAAB-75DA-47B4-B674-01F384CE2B4C}" name="Tipo_Procedimiento"/>
    <tableColumn id="9" xr3:uid="{AAB73E96-94F1-4974-B49C-30964D7A851C}" name="nIdCategoria"/>
    <tableColumn id="8" xr3:uid="{CA59F818-01BE-4509-8D52-2278DBDC27F0}" name="Total_Contrato" dataDxfId="5" data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177914-26C6-4B6C-95BF-2AA83B5B7882}" name="Tabla18" displayName="Tabla18" ref="A2:H32" totalsRowShown="0">
  <autoFilter ref="A2:H32" xr:uid="{BA78C928-D03B-4823-ADE4-40DA0D16E9CA}"/>
  <tableColumns count="8">
    <tableColumn id="1" xr3:uid="{4ED8A79A-D59F-4F8F-BF30-C01CDFB0978A}" name="Contrato_SAI"/>
    <tableColumn id="2" xr3:uid="{0AA46D85-1EC6-4970-82CF-476A1F7CA2F1}" name="Contrato_CNET"/>
    <tableColumn id="3" xr3:uid="{360E2866-AFED-42C9-9D2D-12E958B481BB}" name="Procedimiento_CNET"/>
    <tableColumn id="4" xr3:uid="{5B09F662-8F8F-4765-89AD-580B7846EB24}" name="RFC"/>
    <tableColumn id="5" xr3:uid="{1E2DF739-F2D8-49F3-B89F-F1216F3ECF8B}" name="Fecha_Formalizacion" dataDxfId="4"/>
    <tableColumn id="6" xr3:uid="{C3205FE5-E161-48A0-AC29-7BB0C3804159}" name="Fundamento_Legal"/>
    <tableColumn id="7" xr3:uid="{693A6FED-D2E6-4F6E-A7D4-363660A2C360}" name="Tipo_Procedimiento"/>
    <tableColumn id="8" xr3:uid="{524FC407-23A9-487A-8531-801CFA911ECB}" name="Total_Contrato" dataDxfId="3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DBD607-21A0-4E08-92C3-DF175FF5B490}" name="Tabla49" displayName="Tabla49" ref="A2:I323" totalsRowShown="0">
  <autoFilter ref="A2:I323" xr:uid="{A65CF11E-2AE2-4EC2-BB80-A0375D8F26E0}"/>
  <tableColumns count="9">
    <tableColumn id="1" xr3:uid="{B4A110D1-C734-4EB9-BEAC-6F2841820624}" name="Contrato_SAI"/>
    <tableColumn id="2" xr3:uid="{BAB80545-CF25-462E-B8E6-2B9D8D1D0300}" name="Contrato_CNET"/>
    <tableColumn id="3" xr3:uid="{B081B399-D4BF-436D-9457-1339500529F4}" name="Procedimiento_CNET"/>
    <tableColumn id="4" xr3:uid="{7962A135-E0AE-490D-AE61-E3766C618DE4}" name="RFC"/>
    <tableColumn id="5" xr3:uid="{2018216E-876D-4B91-932A-3DE5EA825087}" name="Fecha_Formalizacion" dataDxfId="2"/>
    <tableColumn id="6" xr3:uid="{A7835BF4-E42F-4EAB-AE51-7E457CED01E0}" name="Fundamento_Legal"/>
    <tableColumn id="7" xr3:uid="{CA9D1BEC-D96E-4BED-AF34-E4643B705CC3}" name="Tipo_Procedimiento"/>
    <tableColumn id="9" xr3:uid="{E260CEDE-A470-4F6E-AB37-A785633FA33F}" name="nIdCategoria"/>
    <tableColumn id="8" xr3:uid="{4E84D8F5-FD54-4DF8-8F51-FB5315A32C9E}" name="Total_Contrato" dataDxfId="1" dataCellStyle="Millar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AF8C2F-1D0E-4C7E-B7EF-4E8F70659390}" name="Tabla5" displayName="Tabla5" ref="A2:H22" totalsRowShown="0">
  <autoFilter ref="A2:H22" xr:uid="{9E2E47C8-23FF-4E7A-8060-6D8F26B813DD}"/>
  <tableColumns count="8">
    <tableColumn id="1" xr3:uid="{293A5950-29FA-4579-9370-2FA89FF302AB}" name="Contrato_SAI"/>
    <tableColumn id="2" xr3:uid="{C0A53F67-1CD2-4B9D-AF61-8D1929F68353}" name="Contrato_CNET"/>
    <tableColumn id="3" xr3:uid="{C687C7FF-93A1-47BF-A73A-C25F291AE50C}" name="Procedimiento_CNET"/>
    <tableColumn id="4" xr3:uid="{172D4BDD-5261-412B-AA0B-A03D10742560}" name="RFC"/>
    <tableColumn id="5" xr3:uid="{2D78283E-E47B-4969-A0C9-C53AD372CF5E}" name="Fecha_Formalizacion"/>
    <tableColumn id="6" xr3:uid="{E8C07E78-1712-4C80-9355-05FB0D253A00}" name="Fundamento_Legal"/>
    <tableColumn id="7" xr3:uid="{276F9E83-DDC5-4F6A-B545-1702C9631A57}" name="Tipo_Procedimiento"/>
    <tableColumn id="8" xr3:uid="{19673895-64C1-41CD-8656-C5A43E05E4B4}" name="Total_Contra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topLeftCell="C1" zoomScale="85" zoomScaleNormal="85" workbookViewId="0">
      <selection activeCell="E2" sqref="E2"/>
    </sheetView>
  </sheetViews>
  <sheetFormatPr baseColWidth="10" defaultRowHeight="15"/>
  <cols>
    <col min="1" max="1" width="11.140625" customWidth="1"/>
    <col min="2" max="2" width="21.85546875" customWidth="1"/>
    <col min="3" max="3" width="33.140625" customWidth="1"/>
    <col min="4" max="4" width="35.28515625" customWidth="1"/>
    <col min="5" max="5" width="16.85546875" customWidth="1"/>
    <col min="6" max="6" width="18.5703125" customWidth="1"/>
  </cols>
  <sheetData>
    <row r="1" spans="1:7" ht="25.5">
      <c r="A1" s="3" t="s">
        <v>0</v>
      </c>
      <c r="B1" s="3" t="s">
        <v>1</v>
      </c>
      <c r="C1" s="3" t="s">
        <v>80</v>
      </c>
      <c r="D1" s="4" t="s">
        <v>2</v>
      </c>
      <c r="E1" s="4" t="s">
        <v>3</v>
      </c>
      <c r="F1" s="4" t="s">
        <v>4</v>
      </c>
    </row>
    <row r="2" spans="1:7" s="1" customFormat="1" ht="120">
      <c r="A2" s="2" t="s">
        <v>42</v>
      </c>
      <c r="B2" s="6" t="s">
        <v>66</v>
      </c>
      <c r="C2" s="10" t="s">
        <v>81</v>
      </c>
      <c r="D2" s="6" t="s">
        <v>19</v>
      </c>
      <c r="E2" s="6" t="s">
        <v>18</v>
      </c>
      <c r="F2" s="6" t="s">
        <v>34</v>
      </c>
    </row>
    <row r="3" spans="1:7" ht="120">
      <c r="A3" s="2" t="s">
        <v>43</v>
      </c>
      <c r="B3" s="6" t="s">
        <v>67</v>
      </c>
      <c r="C3" s="10" t="s">
        <v>82</v>
      </c>
      <c r="D3" s="6" t="s">
        <v>6</v>
      </c>
      <c r="E3" s="6" t="s">
        <v>18</v>
      </c>
      <c r="F3" s="6" t="s">
        <v>34</v>
      </c>
    </row>
    <row r="4" spans="1:7" ht="90">
      <c r="A4" s="2" t="s">
        <v>44</v>
      </c>
      <c r="B4" s="6" t="s">
        <v>7</v>
      </c>
      <c r="C4" s="10" t="s">
        <v>83</v>
      </c>
      <c r="D4" s="6" t="s">
        <v>8</v>
      </c>
      <c r="E4" s="6" t="s">
        <v>18</v>
      </c>
      <c r="F4" s="6" t="s">
        <v>35</v>
      </c>
      <c r="G4" s="9"/>
    </row>
    <row r="5" spans="1:7" ht="199.5" customHeight="1">
      <c r="A5" s="2" t="s">
        <v>45</v>
      </c>
      <c r="B5" s="6" t="s">
        <v>9</v>
      </c>
      <c r="C5" s="10" t="s">
        <v>84</v>
      </c>
      <c r="D5" s="6" t="s">
        <v>8</v>
      </c>
      <c r="E5" s="6" t="s">
        <v>18</v>
      </c>
      <c r="F5" s="6" t="s">
        <v>35</v>
      </c>
      <c r="G5" s="9"/>
    </row>
    <row r="6" spans="1:7" ht="105">
      <c r="A6" s="2" t="s">
        <v>46</v>
      </c>
      <c r="B6" s="6" t="s">
        <v>32</v>
      </c>
      <c r="C6" s="10" t="s">
        <v>93</v>
      </c>
      <c r="D6" s="6" t="s">
        <v>10</v>
      </c>
      <c r="E6" s="6" t="s">
        <v>18</v>
      </c>
      <c r="F6" s="6" t="s">
        <v>36</v>
      </c>
      <c r="G6" s="9"/>
    </row>
    <row r="7" spans="1:7" ht="135">
      <c r="A7" s="2" t="s">
        <v>47</v>
      </c>
      <c r="B7" s="6" t="s">
        <v>33</v>
      </c>
      <c r="C7" s="10" t="s">
        <v>92</v>
      </c>
      <c r="D7" s="6" t="s">
        <v>11</v>
      </c>
      <c r="E7" s="6" t="s">
        <v>18</v>
      </c>
      <c r="F7" s="6" t="s">
        <v>36</v>
      </c>
      <c r="G7" s="9"/>
    </row>
    <row r="8" spans="1:7" ht="105">
      <c r="A8" s="2" t="s">
        <v>48</v>
      </c>
      <c r="B8" s="6" t="s">
        <v>12</v>
      </c>
      <c r="C8" s="10" t="s">
        <v>91</v>
      </c>
      <c r="D8" s="6" t="s">
        <v>13</v>
      </c>
      <c r="E8" s="6" t="s">
        <v>18</v>
      </c>
      <c r="F8" s="6" t="s">
        <v>36</v>
      </c>
      <c r="G8" s="9"/>
    </row>
    <row r="9" spans="1:7" ht="150">
      <c r="A9" s="2" t="s">
        <v>49</v>
      </c>
      <c r="B9" s="6" t="s">
        <v>14</v>
      </c>
      <c r="C9" s="10" t="s">
        <v>86</v>
      </c>
      <c r="D9" s="6" t="s">
        <v>23</v>
      </c>
      <c r="E9" s="6" t="s">
        <v>18</v>
      </c>
      <c r="F9" s="6" t="s">
        <v>37</v>
      </c>
      <c r="G9" s="9"/>
    </row>
    <row r="10" spans="1:7" ht="165">
      <c r="A10" s="2" t="s">
        <v>50</v>
      </c>
      <c r="B10" s="6" t="s">
        <v>16</v>
      </c>
      <c r="C10" s="10" t="s">
        <v>87</v>
      </c>
      <c r="D10" s="6" t="s">
        <v>24</v>
      </c>
      <c r="E10" s="6" t="s">
        <v>18</v>
      </c>
      <c r="F10" s="6" t="s">
        <v>37</v>
      </c>
      <c r="G10" s="9"/>
    </row>
    <row r="11" spans="1:7" ht="105">
      <c r="A11" s="2" t="s">
        <v>51</v>
      </c>
      <c r="B11" s="6" t="s">
        <v>25</v>
      </c>
      <c r="C11" s="10" t="s">
        <v>88</v>
      </c>
      <c r="D11" s="6" t="s">
        <v>26</v>
      </c>
      <c r="E11" s="6" t="s">
        <v>18</v>
      </c>
      <c r="F11" s="6" t="s">
        <v>38</v>
      </c>
    </row>
    <row r="12" spans="1:7" ht="105">
      <c r="A12" s="2" t="s">
        <v>52</v>
      </c>
      <c r="B12" s="6" t="s">
        <v>28</v>
      </c>
      <c r="C12" s="10" t="s">
        <v>88</v>
      </c>
      <c r="D12" s="6" t="s">
        <v>29</v>
      </c>
      <c r="E12" s="6" t="s">
        <v>18</v>
      </c>
      <c r="F12" s="6" t="s">
        <v>38</v>
      </c>
    </row>
    <row r="13" spans="1:7" ht="90">
      <c r="A13" s="2" t="s">
        <v>53</v>
      </c>
      <c r="B13" s="7" t="s">
        <v>30</v>
      </c>
      <c r="C13" s="10" t="s">
        <v>89</v>
      </c>
      <c r="D13" s="7" t="s">
        <v>17</v>
      </c>
      <c r="E13" s="6" t="s">
        <v>18</v>
      </c>
      <c r="F13" s="6" t="s">
        <v>34</v>
      </c>
    </row>
    <row r="14" spans="1:7" ht="90">
      <c r="A14" s="2" t="s">
        <v>54</v>
      </c>
      <c r="B14" s="7" t="s">
        <v>31</v>
      </c>
      <c r="C14" s="10" t="s">
        <v>90</v>
      </c>
      <c r="D14" s="7" t="s">
        <v>17</v>
      </c>
      <c r="E14" s="6" t="s">
        <v>18</v>
      </c>
      <c r="F14" s="6" t="s">
        <v>34</v>
      </c>
    </row>
    <row r="15" spans="1:7" ht="105">
      <c r="A15" s="2" t="s">
        <v>55</v>
      </c>
      <c r="B15" s="7" t="s">
        <v>39</v>
      </c>
      <c r="C15" s="10" t="s">
        <v>85</v>
      </c>
      <c r="D15" s="7" t="s">
        <v>40</v>
      </c>
      <c r="E15" s="6" t="s">
        <v>18</v>
      </c>
      <c r="F15" s="6" t="s">
        <v>34</v>
      </c>
    </row>
  </sheetData>
  <autoFilter ref="A1:F15" xr:uid="{00000000-0009-0000-0000-000000000000}"/>
  <pageMargins left="0.25" right="0.25" top="0.75" bottom="0.75" header="0.3" footer="0.3"/>
  <pageSetup scale="5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tabSelected="1" topLeftCell="A3" zoomScale="70" zoomScaleNormal="70" workbookViewId="0">
      <selection activeCell="N6" sqref="N6"/>
    </sheetView>
  </sheetViews>
  <sheetFormatPr baseColWidth="10" defaultRowHeight="15"/>
  <cols>
    <col min="1" max="1" width="9.42578125" bestFit="1" customWidth="1"/>
    <col min="2" max="2" width="29.140625" customWidth="1"/>
    <col min="3" max="3" width="26.140625" customWidth="1"/>
    <col min="4" max="4" width="28.42578125" customWidth="1"/>
    <col min="5" max="5" width="16.7109375" customWidth="1"/>
    <col min="6" max="6" width="19.7109375" customWidth="1"/>
    <col min="7" max="7" width="30.7109375" customWidth="1"/>
    <col min="8" max="8" width="16.85546875" customWidth="1"/>
    <col min="9" max="9" width="26.28515625" customWidth="1"/>
  </cols>
  <sheetData>
    <row r="1" spans="1:10" ht="63.75">
      <c r="A1" s="3" t="s">
        <v>0</v>
      </c>
      <c r="B1" s="3" t="s">
        <v>1</v>
      </c>
      <c r="C1" s="3" t="s">
        <v>80</v>
      </c>
      <c r="D1" s="4" t="s">
        <v>2</v>
      </c>
      <c r="E1" s="4" t="s">
        <v>3</v>
      </c>
      <c r="F1" s="4" t="s">
        <v>4</v>
      </c>
      <c r="G1" s="3" t="s">
        <v>5</v>
      </c>
      <c r="H1" s="3" t="s">
        <v>60</v>
      </c>
      <c r="I1" s="5" t="s">
        <v>61</v>
      </c>
      <c r="J1" s="5" t="s">
        <v>59</v>
      </c>
    </row>
    <row r="2" spans="1:10" ht="150">
      <c r="A2" s="2" t="s">
        <v>42</v>
      </c>
      <c r="B2" s="6" t="s">
        <v>66</v>
      </c>
      <c r="C2" s="10" t="s">
        <v>81</v>
      </c>
      <c r="D2" s="6" t="s">
        <v>19</v>
      </c>
      <c r="E2" s="6" t="s">
        <v>18</v>
      </c>
      <c r="F2" s="6" t="s">
        <v>34</v>
      </c>
      <c r="G2" s="6" t="s">
        <v>63</v>
      </c>
      <c r="H2" s="6" t="s">
        <v>77</v>
      </c>
      <c r="I2" s="7" t="s">
        <v>68</v>
      </c>
      <c r="J2" s="8">
        <f>IFERROR(Concentrado_Contrataciones!K5/Concentrado_Contrataciones!J5,0)</f>
        <v>0</v>
      </c>
    </row>
    <row r="3" spans="1:10" ht="210">
      <c r="A3" s="2" t="s">
        <v>43</v>
      </c>
      <c r="B3" s="6" t="s">
        <v>67</v>
      </c>
      <c r="C3" s="10" t="s">
        <v>82</v>
      </c>
      <c r="D3" s="6" t="s">
        <v>6</v>
      </c>
      <c r="E3" s="6" t="s">
        <v>18</v>
      </c>
      <c r="F3" s="6" t="s">
        <v>34</v>
      </c>
      <c r="G3" s="6" t="s">
        <v>20</v>
      </c>
      <c r="H3" s="6" t="s">
        <v>77</v>
      </c>
      <c r="I3" s="7" t="s">
        <v>69</v>
      </c>
      <c r="J3" s="8">
        <f>IFERROR(Concentrado_Contrataciones!L5/Concentrado_Contrataciones!J5,0)</f>
        <v>0</v>
      </c>
    </row>
    <row r="4" spans="1:10" ht="105">
      <c r="A4" s="2" t="s">
        <v>44</v>
      </c>
      <c r="B4" s="6" t="s">
        <v>7</v>
      </c>
      <c r="C4" s="10" t="s">
        <v>131</v>
      </c>
      <c r="D4" s="6" t="s">
        <v>8</v>
      </c>
      <c r="E4" s="6" t="s">
        <v>18</v>
      </c>
      <c r="F4" s="6" t="s">
        <v>35</v>
      </c>
      <c r="G4" s="6" t="s">
        <v>56</v>
      </c>
      <c r="H4" s="6" t="s">
        <v>77</v>
      </c>
      <c r="I4" s="7" t="s">
        <v>76</v>
      </c>
      <c r="J4" s="8">
        <f>IFERROR(Concentrado_Contrataciones!G2/Concentrado_Contrataciones!F2,0)</f>
        <v>0</v>
      </c>
    </row>
    <row r="5" spans="1:10" ht="180">
      <c r="A5" s="2" t="s">
        <v>45</v>
      </c>
      <c r="B5" s="6" t="s">
        <v>9</v>
      </c>
      <c r="C5" s="10" t="s">
        <v>132</v>
      </c>
      <c r="D5" s="6" t="s">
        <v>8</v>
      </c>
      <c r="E5" s="6" t="s">
        <v>18</v>
      </c>
      <c r="F5" s="6" t="s">
        <v>35</v>
      </c>
      <c r="G5" s="6" t="s">
        <v>21</v>
      </c>
      <c r="H5" s="6" t="s">
        <v>77</v>
      </c>
      <c r="I5" s="7" t="s">
        <v>70</v>
      </c>
      <c r="J5" s="8">
        <f>IFERROR(Concentrado_Contrataciones!G3/Concentrado_Contrataciones!F3,0)</f>
        <v>0</v>
      </c>
    </row>
    <row r="6" spans="1:10" ht="195">
      <c r="A6" s="2" t="s">
        <v>49</v>
      </c>
      <c r="B6" s="6" t="s">
        <v>14</v>
      </c>
      <c r="C6" s="10" t="s">
        <v>86</v>
      </c>
      <c r="D6" s="6" t="s">
        <v>23</v>
      </c>
      <c r="E6" s="6" t="s">
        <v>18</v>
      </c>
      <c r="F6" s="6" t="s">
        <v>37</v>
      </c>
      <c r="G6" s="6" t="s">
        <v>15</v>
      </c>
      <c r="H6" s="6" t="s">
        <v>77</v>
      </c>
      <c r="I6" s="7" t="s">
        <v>58</v>
      </c>
      <c r="J6" s="8">
        <f>IFERROR(Concentrado_Contrataciones!M2/Concentrado_Contrataciones!F2,0)</f>
        <v>0</v>
      </c>
    </row>
    <row r="7" spans="1:10" ht="210">
      <c r="A7" s="2" t="s">
        <v>50</v>
      </c>
      <c r="B7" s="6" t="s">
        <v>16</v>
      </c>
      <c r="C7" s="10" t="s">
        <v>87</v>
      </c>
      <c r="D7" s="6" t="s">
        <v>24</v>
      </c>
      <c r="E7" s="6" t="s">
        <v>18</v>
      </c>
      <c r="F7" s="6" t="s">
        <v>37</v>
      </c>
      <c r="G7" s="6" t="s">
        <v>15</v>
      </c>
      <c r="H7" s="6" t="s">
        <v>77</v>
      </c>
      <c r="I7" s="7" t="s">
        <v>58</v>
      </c>
      <c r="J7" s="8">
        <f>IFERROR(Concentrado_Contrataciones!F3/Concentrado_Contrataciones!M3,0)</f>
        <v>0</v>
      </c>
    </row>
    <row r="8" spans="1:10" ht="345">
      <c r="A8" s="2" t="s">
        <v>55</v>
      </c>
      <c r="B8" s="7" t="s">
        <v>39</v>
      </c>
      <c r="C8" s="10" t="s">
        <v>85</v>
      </c>
      <c r="D8" s="7" t="s">
        <v>40</v>
      </c>
      <c r="E8" s="6" t="s">
        <v>18</v>
      </c>
      <c r="F8" s="6" t="s">
        <v>34</v>
      </c>
      <c r="G8" s="6" t="s">
        <v>41</v>
      </c>
      <c r="H8" s="6" t="s">
        <v>62</v>
      </c>
      <c r="I8" s="7" t="s">
        <v>78</v>
      </c>
      <c r="J8" s="8">
        <f>IFERROR(Concentrado_Contrataciones!O5/Concentrado_Contrataciones!N5,0)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opLeftCell="B1" zoomScale="80" zoomScaleNormal="80" workbookViewId="0">
      <selection activeCell="K2" sqref="K2"/>
    </sheetView>
  </sheetViews>
  <sheetFormatPr baseColWidth="10" defaultRowHeight="15"/>
  <cols>
    <col min="2" max="2" width="25.5703125" customWidth="1"/>
    <col min="3" max="3" width="30" customWidth="1"/>
    <col min="4" max="4" width="28.42578125" customWidth="1"/>
    <col min="5" max="5" width="23.42578125" customWidth="1"/>
    <col min="6" max="6" width="21.140625" customWidth="1"/>
    <col min="7" max="7" width="27.28515625" customWidth="1"/>
    <col min="8" max="8" width="22.7109375" customWidth="1"/>
    <col min="9" max="9" width="20.5703125" customWidth="1"/>
    <col min="11" max="11" width="11.85546875" bestFit="1" customWidth="1"/>
  </cols>
  <sheetData>
    <row r="1" spans="1:13" ht="63.75">
      <c r="A1" s="3" t="s">
        <v>0</v>
      </c>
      <c r="B1" s="3" t="s">
        <v>1</v>
      </c>
      <c r="C1" s="3" t="s">
        <v>80</v>
      </c>
      <c r="D1" s="4" t="s">
        <v>2</v>
      </c>
      <c r="E1" s="4" t="s">
        <v>3</v>
      </c>
      <c r="F1" s="4" t="s">
        <v>4</v>
      </c>
      <c r="G1" s="3" t="s">
        <v>5</v>
      </c>
      <c r="H1" s="3" t="s">
        <v>60</v>
      </c>
      <c r="I1" s="5" t="s">
        <v>61</v>
      </c>
      <c r="J1" s="5" t="s">
        <v>59</v>
      </c>
      <c r="K1" s="4" t="s">
        <v>100</v>
      </c>
      <c r="L1" s="4" t="s">
        <v>101</v>
      </c>
      <c r="M1" s="4" t="s">
        <v>102</v>
      </c>
    </row>
    <row r="2" spans="1:13" ht="195">
      <c r="A2" s="2" t="s">
        <v>51</v>
      </c>
      <c r="B2" s="6" t="s">
        <v>25</v>
      </c>
      <c r="C2" s="10" t="s">
        <v>88</v>
      </c>
      <c r="D2" s="6" t="s">
        <v>26</v>
      </c>
      <c r="E2" s="6" t="s">
        <v>18</v>
      </c>
      <c r="F2" s="6" t="s">
        <v>38</v>
      </c>
      <c r="G2" s="6" t="s">
        <v>27</v>
      </c>
      <c r="H2" s="6" t="s">
        <v>77</v>
      </c>
      <c r="I2" s="7" t="s">
        <v>73</v>
      </c>
      <c r="J2" s="8">
        <v>1</v>
      </c>
      <c r="K2" s="18">
        <f>IFERROR(Concentrado_Contrataciones!B4/Concentrado_Contrataciones!B5,0)</f>
        <v>0</v>
      </c>
      <c r="L2" s="18">
        <f>IFERROR(Concentrado_Contrataciones!B3/Concentrado_Contrataciones!B5,0)</f>
        <v>0</v>
      </c>
      <c r="M2" s="19" t="s">
        <v>103</v>
      </c>
    </row>
    <row r="3" spans="1:13" ht="195">
      <c r="A3" s="2" t="s">
        <v>52</v>
      </c>
      <c r="B3" s="6" t="s">
        <v>28</v>
      </c>
      <c r="C3" s="10" t="s">
        <v>88</v>
      </c>
      <c r="D3" s="6" t="s">
        <v>29</v>
      </c>
      <c r="E3" s="6" t="s">
        <v>18</v>
      </c>
      <c r="F3" s="6" t="s">
        <v>38</v>
      </c>
      <c r="G3" s="6" t="s">
        <v>27</v>
      </c>
      <c r="H3" s="6" t="s">
        <v>77</v>
      </c>
      <c r="I3" s="7" t="s">
        <v>72</v>
      </c>
      <c r="J3" s="8">
        <v>1</v>
      </c>
      <c r="K3" s="18">
        <f>IFERROR(Concentrado_Contrataciones!E4/Concentrado_Contrataciones!E5,0)</f>
        <v>0</v>
      </c>
      <c r="L3" s="18">
        <f>IFERROR(Tabla2[[#This Row],[Cantidad de excepciones a LP LOPSRM]]/Concentrado_Contrataciones!E5,0)</f>
        <v>0</v>
      </c>
      <c r="M3" s="19" t="s">
        <v>103</v>
      </c>
    </row>
    <row r="4" spans="1:13" ht="120">
      <c r="A4" s="2" t="s">
        <v>53</v>
      </c>
      <c r="B4" s="7" t="s">
        <v>30</v>
      </c>
      <c r="C4" s="10" t="s">
        <v>89</v>
      </c>
      <c r="D4" s="7" t="s">
        <v>17</v>
      </c>
      <c r="E4" s="6" t="s">
        <v>18</v>
      </c>
      <c r="F4" s="6" t="s">
        <v>34</v>
      </c>
      <c r="G4" s="6" t="s">
        <v>64</v>
      </c>
      <c r="H4" s="6" t="s">
        <v>77</v>
      </c>
      <c r="I4" s="7" t="s">
        <v>71</v>
      </c>
      <c r="J4" s="8">
        <v>1</v>
      </c>
      <c r="K4" s="18">
        <f>ROUND(IFERROR(Tabla2[[#This Row],[Cantidad de Contrataciones LAASSP]]/Concentrado_Contrataciones!C5,0),2)</f>
        <v>0</v>
      </c>
      <c r="L4" s="18">
        <f>ROUND(IFERROR(Concentrado_Contrataciones!C3/Concentrado_Contrataciones!C5,0),2)</f>
        <v>0</v>
      </c>
      <c r="M4" s="18">
        <f>ROUND(IFERROR(Concentrado_Contrataciones!C2/Concentrado_Contrataciones!C5,0),2)</f>
        <v>0</v>
      </c>
    </row>
    <row r="5" spans="1:13" ht="90">
      <c r="A5" s="2" t="s">
        <v>54</v>
      </c>
      <c r="B5" s="7" t="s">
        <v>31</v>
      </c>
      <c r="C5" s="10" t="s">
        <v>90</v>
      </c>
      <c r="D5" s="7" t="s">
        <v>17</v>
      </c>
      <c r="E5" s="6" t="s">
        <v>18</v>
      </c>
      <c r="F5" s="6" t="s">
        <v>34</v>
      </c>
      <c r="G5" s="6" t="s">
        <v>65</v>
      </c>
      <c r="H5" s="6" t="s">
        <v>77</v>
      </c>
      <c r="I5" s="7" t="s">
        <v>79</v>
      </c>
      <c r="J5" s="8">
        <v>1</v>
      </c>
      <c r="K5" s="18">
        <f>ROUND(IFERROR(Concentrado_Contrataciones!D4/Tabla2[[#This Row],[Total Contratado con IVA LAASSP]],0),2)</f>
        <v>0</v>
      </c>
      <c r="L5" s="18">
        <f>ROUND(IFERROR(Concentrado_Contrataciones!D3/Tabla2[[#This Row],[Total Contratado con IVA LAASSP]],0),2)</f>
        <v>0</v>
      </c>
      <c r="M5" s="18">
        <f>ROUND(IFERROR(Concentrado_Contrataciones!D2/Tabla2[[#This Row],[Total Contratado con IVA LAASSP]],0),2)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"/>
  <sheetViews>
    <sheetView zoomScale="70" zoomScaleNormal="70" workbookViewId="0">
      <selection activeCell="K2" sqref="K2"/>
    </sheetView>
  </sheetViews>
  <sheetFormatPr baseColWidth="10" defaultRowHeight="15"/>
  <cols>
    <col min="1" max="1" width="19.85546875" customWidth="1"/>
    <col min="2" max="2" width="24.85546875" customWidth="1"/>
    <col min="3" max="3" width="29.5703125" customWidth="1"/>
    <col min="4" max="4" width="24.140625" customWidth="1"/>
    <col min="5" max="5" width="18.85546875" customWidth="1"/>
    <col min="6" max="6" width="20.28515625" customWidth="1"/>
    <col min="7" max="7" width="20.85546875" customWidth="1"/>
    <col min="8" max="8" width="18.140625" customWidth="1"/>
    <col min="9" max="9" width="24.5703125" customWidth="1"/>
    <col min="11" max="11" width="11.85546875" bestFit="1" customWidth="1"/>
  </cols>
  <sheetData>
    <row r="1" spans="1:11" ht="63.75">
      <c r="A1" s="3" t="s">
        <v>0</v>
      </c>
      <c r="B1" s="3" t="s">
        <v>1</v>
      </c>
      <c r="C1" s="3" t="s">
        <v>80</v>
      </c>
      <c r="D1" s="4" t="s">
        <v>2</v>
      </c>
      <c r="E1" s="4" t="s">
        <v>3</v>
      </c>
      <c r="F1" s="4" t="s">
        <v>4</v>
      </c>
      <c r="G1" s="3" t="s">
        <v>5</v>
      </c>
      <c r="H1" s="3" t="s">
        <v>60</v>
      </c>
      <c r="I1" s="5" t="s">
        <v>61</v>
      </c>
      <c r="J1" s="5" t="s">
        <v>59</v>
      </c>
      <c r="K1" s="5" t="s">
        <v>98</v>
      </c>
    </row>
    <row r="2" spans="1:11" ht="210">
      <c r="A2" s="2" t="s">
        <v>46</v>
      </c>
      <c r="B2" s="6" t="s">
        <v>32</v>
      </c>
      <c r="C2" s="10" t="s">
        <v>93</v>
      </c>
      <c r="D2" s="6" t="s">
        <v>10</v>
      </c>
      <c r="E2" s="6" t="s">
        <v>18</v>
      </c>
      <c r="F2" s="6" t="s">
        <v>36</v>
      </c>
      <c r="G2" s="6" t="s">
        <v>22</v>
      </c>
      <c r="H2" s="6" t="s">
        <v>77</v>
      </c>
      <c r="I2" s="7" t="s">
        <v>74</v>
      </c>
      <c r="J2" s="8">
        <v>1</v>
      </c>
      <c r="K2" s="17">
        <f>ROUND(IFERROR(Tabla2[[#This Row],[Total de propuestas recibidas y registradas en CompraNet LAASSP]]/Tabla2[[#This Row],[Número Total de Procedimientos]],0),2)</f>
        <v>0</v>
      </c>
    </row>
    <row r="3" spans="1:11" ht="210">
      <c r="A3" s="2" t="s">
        <v>47</v>
      </c>
      <c r="B3" s="6" t="s">
        <v>33</v>
      </c>
      <c r="C3" s="10" t="s">
        <v>92</v>
      </c>
      <c r="D3" s="6" t="s">
        <v>11</v>
      </c>
      <c r="E3" s="6" t="s">
        <v>18</v>
      </c>
      <c r="F3" s="6" t="s">
        <v>36</v>
      </c>
      <c r="G3" s="6" t="s">
        <v>22</v>
      </c>
      <c r="H3" s="6" t="s">
        <v>77</v>
      </c>
      <c r="I3" s="7" t="s">
        <v>74</v>
      </c>
      <c r="J3" s="8">
        <v>1</v>
      </c>
      <c r="K3" s="17">
        <f>ROUND(IF(Tabla2[[#This Row],[Número Total de Procedimientos]],Tabla2[[#This Row],[Total de propuestas recibidas y registradas en CompraNet LAASSP]]/Tabla2[[#This Row],[Número Total de Procedimientos]],0),2)</f>
        <v>0</v>
      </c>
    </row>
    <row r="4" spans="1:11" ht="300">
      <c r="A4" s="2" t="s">
        <v>48</v>
      </c>
      <c r="B4" s="6" t="s">
        <v>12</v>
      </c>
      <c r="C4" s="10" t="s">
        <v>91</v>
      </c>
      <c r="D4" s="6" t="s">
        <v>13</v>
      </c>
      <c r="E4" s="6" t="s">
        <v>18</v>
      </c>
      <c r="F4" s="6" t="s">
        <v>36</v>
      </c>
      <c r="G4" s="6" t="s">
        <v>57</v>
      </c>
      <c r="H4" s="6" t="s">
        <v>77</v>
      </c>
      <c r="I4" s="7" t="s">
        <v>75</v>
      </c>
      <c r="J4" s="8">
        <v>1</v>
      </c>
      <c r="K4" s="17">
        <f>ROUND(IF(Concentrado_Contrataciones!F3,(Concentrado_Contrataciones!I3/Concentrado_Contrataciones!F3),0),2)</f>
        <v>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"/>
  <sheetViews>
    <sheetView zoomScale="80" zoomScaleNormal="80" workbookViewId="0">
      <selection activeCell="D15" sqref="D15"/>
    </sheetView>
  </sheetViews>
  <sheetFormatPr baseColWidth="10" defaultRowHeight="15"/>
  <cols>
    <col min="1" max="1" width="26.42578125" customWidth="1"/>
    <col min="2" max="2" width="28.28515625" customWidth="1"/>
    <col min="3" max="3" width="26" customWidth="1"/>
    <col min="4" max="4" width="30" customWidth="1"/>
    <col min="5" max="5" width="21.85546875" customWidth="1"/>
    <col min="6" max="6" width="21.7109375" customWidth="1"/>
    <col min="7" max="7" width="21.42578125" customWidth="1"/>
    <col min="8" max="8" width="18.7109375" customWidth="1"/>
    <col min="9" max="9" width="19.42578125" customWidth="1"/>
    <col min="11" max="11" width="17.7109375" customWidth="1"/>
    <col min="12" max="12" width="20.42578125" customWidth="1"/>
    <col min="13" max="13" width="17.85546875" customWidth="1"/>
    <col min="14" max="14" width="17.7109375" customWidth="1"/>
    <col min="15" max="15" width="16.42578125" customWidth="1"/>
    <col min="16" max="16" width="20" customWidth="1"/>
  </cols>
  <sheetData>
    <row r="1" spans="1:15">
      <c r="A1" t="s">
        <v>94</v>
      </c>
      <c r="B1" t="s">
        <v>105</v>
      </c>
      <c r="C1" t="s">
        <v>106</v>
      </c>
      <c r="D1" t="s">
        <v>115</v>
      </c>
      <c r="E1" t="s">
        <v>109</v>
      </c>
      <c r="F1" t="s">
        <v>124</v>
      </c>
      <c r="G1" t="s">
        <v>125</v>
      </c>
      <c r="H1" t="s">
        <v>107</v>
      </c>
      <c r="I1" t="s">
        <v>108</v>
      </c>
      <c r="J1" t="s">
        <v>110</v>
      </c>
      <c r="K1" t="s">
        <v>111</v>
      </c>
      <c r="L1" t="s">
        <v>112</v>
      </c>
      <c r="M1" t="s">
        <v>126</v>
      </c>
      <c r="N1" t="s">
        <v>114</v>
      </c>
      <c r="O1" t="s">
        <v>113</v>
      </c>
    </row>
    <row r="2" spans="1:15">
      <c r="A2" t="s">
        <v>95</v>
      </c>
      <c r="B2" s="14">
        <v>0</v>
      </c>
      <c r="C2" s="14">
        <f>COUNTIF(Tabla37[nIdCategoria],1)+COUNTIF(Tabla37[nIdCategoria],2)+COUNTIF(Tabla37[nIdCategoria],3)+COUNTIF(Tabla37[nIdCategoria],4)+COUNTIF(Tabla49[nIdCategoria],1)+COUNTIF(Tabla49[nIdCategoria],2)+COUNTIF(Tabla49[nIdCategoria],3)+COUNTIF(Tabla49[nIdCategoria],4)</f>
        <v>0</v>
      </c>
      <c r="D2" s="15">
        <f>SUMIF(Tabla37[nIdCategoria],1,Tabla37[Total_Contrato])+SUMIF(Tabla37[nIdCategoria],2,Tabla37[Total_Contrato])+SUMIF(Tabla37[nIdCategoria],3,Tabla37[Total_Contrato])+SUMIF(Tabla37[nIdCategoria],4,Tabla37[Total_Contrato])+SUMIF(Tabla49[nIdCategoria],1,Tabla49[Total_Contrato])+SUMIF(Tabla49[nIdCategoria],2,Tabla49[Total_Contrato])+SUMIF(Tabla49[nIdCategoria],3,Tabla49[Total_Contrato])+SUMIF(Tabla49[nIdCategoria],4,Tabla49[Total_Contrato])</f>
        <v>0</v>
      </c>
      <c r="E2" s="14">
        <v>0</v>
      </c>
      <c r="F2" s="14">
        <v>0</v>
      </c>
      <c r="G2" s="14">
        <v>0</v>
      </c>
      <c r="H2">
        <v>0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</row>
    <row r="3" spans="1:15">
      <c r="A3" t="s">
        <v>97</v>
      </c>
      <c r="B3" s="14">
        <f>COUNTIF(Tabla37[nIdCategoria],9)+COUNTIF(Tabla49[nIdCategoria],9)</f>
        <v>0</v>
      </c>
      <c r="C3" s="14">
        <f>COUNTIF(Tabla37[nIdCategoria],5)+COUNTIF(Tabla37[nIdCategoria],6)+COUNTIF(Tabla37[nIdCategoria],7)+COUNTIF(Tabla37[nIdCategoria],8)+COUNTIF(Tabla37[nIdCategoria],9)+COUNTIF(Tabla49[nIdCategoria],5)+COUNTIF(Tabla49[nIdCategoria],6)+COUNTIF(Tabla49[nIdCategoria],7)+COUNTIF(Tabla49[nIdCategoria],8)+COUNTIF(Tabla49[nIdCategoria],9)</f>
        <v>0</v>
      </c>
      <c r="D3" s="16">
        <f>SUMIF(Tabla37[nIdCategoria],5,Tabla37[Total_Contrato])+SUMIF(Tabla37[nIdCategoria],6,Tabla37[Total_Contrato])+SUMIF(Tabla37[nIdCategoria],7,Tabla37[Total_Contrato])+SUMIF(Tabla37[nIdCategoria],8,Tabla37[Total_Contrato])+SUMIF(Tabla37[nIdCategoria],9,Tabla37[Total_Contrato])+SUMIF(Tabla49[nIdCategoria],5,Tabla49[Total_Contrato])+SUMIF(Tabla49[nIdCategoria],6,Tabla49[Total_Contrato])+SUMIF(Tabla49[nIdCategoria],7,Tabla49[Total_Contrato])+SUMIF(Tabla49[nIdCategoria],8,Tabla49[Total_Contrato])+SUMIF(Tabla49[nIdCategoria],9,Tabla49[Total_Contrato])</f>
        <v>0</v>
      </c>
      <c r="E3" s="14">
        <v>0</v>
      </c>
      <c r="F3" s="14">
        <v>0</v>
      </c>
      <c r="G3" s="14">
        <v>0</v>
      </c>
      <c r="H3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</row>
    <row r="4" spans="1:15">
      <c r="A4" t="s">
        <v>96</v>
      </c>
      <c r="B4" s="14">
        <f>COUNTIF(Tabla37[nIdCategoria],12)+COUNTIF(Tabla49[nIdCategoria],12)</f>
        <v>0</v>
      </c>
      <c r="C4" s="14">
        <f>COUNTIF(Tabla37[nIdCategoria],10)+COUNTIF(Tabla37[nIdCategoria],11)+COUNTIF(Tabla37[nIdCategoria],12)+COUNTIF(Tabla37[nIdCategoria],13)+COUNTIF(Tabla37[nIdCategoria],14)+COUNTIF(Tabla49[nIdCategoria],10)+COUNTIF(Tabla49[nIdCategoria],11)+COUNTIF(Tabla49[nIdCategoria],12)+COUNTIF(Tabla49[nIdCategoria],13)+COUNTIF(Tabla49[nIdCategoria],14)</f>
        <v>0</v>
      </c>
      <c r="D4" s="16">
        <f>SUMIF(Tabla37[nIdCategoria],10,Tabla37[Total_Contrato])+SUMIF(Tabla37[nIdCategoria],11,Tabla37[Total_Contrato])+SUMIF(Tabla37[nIdCategoria],12,Tabla37[Total_Contrato])+SUMIF(Tabla37[nIdCategoria],13,Tabla37[Total_Contrato])+SUMIF(Tabla37[nIdCategoria],14,Tabla37[Total_Contrato])+SUMIF(Tabla49[nIdCategoria],10,Tabla49[Total_Contrato])+SUMIF(Tabla49[nIdCategoria],11,Tabla49[Total_Contrato])+SUMIF(Tabla49[nIdCategoria],12,Tabla49[Total_Contrato])+SUMIF(Tabla49[nIdCategoria],13,Tabla49[Total_Contrato])+SUMIF(Tabla49[nIdCategoria],14,Tabla49[Total_Contrato])</f>
        <v>0</v>
      </c>
      <c r="E4" s="14">
        <f>COUNTIF(Tabla18[Tipo_Procedimiento],23)+COUNTIF(Tabla5[Tipo_Procedimiento],23)</f>
        <v>0</v>
      </c>
      <c r="F4" s="14">
        <v>0</v>
      </c>
      <c r="G4" s="14">
        <v>0</v>
      </c>
      <c r="H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</row>
    <row r="5" spans="1:15">
      <c r="A5" s="12" t="s">
        <v>99</v>
      </c>
      <c r="B5" s="14">
        <f>SUM(B2:B4)</f>
        <v>0</v>
      </c>
      <c r="C5" s="14">
        <f t="shared" ref="C5:O5" si="0">SUM(C2:C4)</f>
        <v>0</v>
      </c>
      <c r="D5" s="16">
        <f t="shared" si="0"/>
        <v>0</v>
      </c>
      <c r="E5" s="14">
        <f>SUM(E2:E4)</f>
        <v>0</v>
      </c>
      <c r="F5" s="14">
        <f>SUM(F2:F4)</f>
        <v>0</v>
      </c>
      <c r="G5" s="14">
        <f>SUM(G2:G4)</f>
        <v>0</v>
      </c>
      <c r="H5">
        <f t="shared" si="0"/>
        <v>0</v>
      </c>
      <c r="I5" s="14">
        <f t="shared" si="0"/>
        <v>0</v>
      </c>
      <c r="J5" s="14">
        <f t="shared" si="0"/>
        <v>0</v>
      </c>
      <c r="K5" s="14">
        <f t="shared" si="0"/>
        <v>0</v>
      </c>
      <c r="L5" s="14">
        <f t="shared" si="0"/>
        <v>0</v>
      </c>
      <c r="M5" s="14">
        <f t="shared" si="0"/>
        <v>0</v>
      </c>
      <c r="N5" s="14">
        <f t="shared" si="0"/>
        <v>0</v>
      </c>
      <c r="O5" s="14">
        <f t="shared" si="0"/>
        <v>0</v>
      </c>
    </row>
    <row r="8" spans="1:15">
      <c r="H8" s="13"/>
      <c r="K8" s="1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52D2-02D7-48E6-9974-D360BFE3C9EB}">
  <dimension ref="A1:I236"/>
  <sheetViews>
    <sheetView workbookViewId="0">
      <selection activeCell="I3" sqref="I3"/>
    </sheetView>
  </sheetViews>
  <sheetFormatPr baseColWidth="10" defaultRowHeight="15"/>
  <cols>
    <col min="1" max="1" width="14.85546875" bestFit="1" customWidth="1"/>
    <col min="2" max="2" width="55.7109375" bestFit="1" customWidth="1"/>
    <col min="3" max="3" width="28.42578125" customWidth="1"/>
    <col min="4" max="4" width="17.7109375" bestFit="1" customWidth="1"/>
    <col min="5" max="5" width="21.85546875" bestFit="1" customWidth="1"/>
    <col min="6" max="6" width="38.28515625" bestFit="1" customWidth="1"/>
    <col min="7" max="7" width="50.85546875" customWidth="1"/>
    <col min="8" max="8" width="13.28515625" customWidth="1"/>
    <col min="9" max="9" width="18.85546875" bestFit="1" customWidth="1"/>
  </cols>
  <sheetData>
    <row r="1" spans="1:9">
      <c r="A1" s="21" t="s">
        <v>127</v>
      </c>
      <c r="B1" s="21"/>
      <c r="C1" s="21"/>
      <c r="D1" s="21"/>
      <c r="E1" s="21"/>
      <c r="F1" s="21"/>
      <c r="G1" s="21"/>
      <c r="H1" s="21"/>
      <c r="I1" s="21"/>
    </row>
    <row r="2" spans="1:9">
      <c r="A2" t="s">
        <v>116</v>
      </c>
      <c r="B2" t="s">
        <v>117</v>
      </c>
      <c r="C2" t="s">
        <v>118</v>
      </c>
      <c r="D2" t="s">
        <v>104</v>
      </c>
      <c r="E2" t="s">
        <v>119</v>
      </c>
      <c r="F2" t="s">
        <v>120</v>
      </c>
      <c r="G2" t="s">
        <v>121</v>
      </c>
      <c r="H2" t="s">
        <v>123</v>
      </c>
      <c r="I2" t="s">
        <v>122</v>
      </c>
    </row>
    <row r="3" spans="1:9">
      <c r="E3" s="13"/>
      <c r="I3" s="20"/>
    </row>
    <row r="4" spans="1:9">
      <c r="E4" s="13"/>
      <c r="I4" s="20"/>
    </row>
    <row r="5" spans="1:9">
      <c r="E5" s="13"/>
      <c r="I5" s="20"/>
    </row>
    <row r="6" spans="1:9">
      <c r="E6" s="13"/>
      <c r="I6" s="20"/>
    </row>
    <row r="7" spans="1:9">
      <c r="E7" s="13"/>
      <c r="I7" s="20"/>
    </row>
    <row r="8" spans="1:9">
      <c r="E8" s="13"/>
      <c r="I8" s="20"/>
    </row>
    <row r="9" spans="1:9">
      <c r="E9" s="13"/>
      <c r="I9" s="20"/>
    </row>
    <row r="10" spans="1:9">
      <c r="E10" s="13"/>
      <c r="I10" s="20"/>
    </row>
    <row r="11" spans="1:9">
      <c r="E11" s="13"/>
      <c r="I11" s="20"/>
    </row>
    <row r="12" spans="1:9">
      <c r="E12" s="13"/>
      <c r="I12" s="20"/>
    </row>
    <row r="13" spans="1:9">
      <c r="E13" s="13"/>
      <c r="I13" s="20"/>
    </row>
    <row r="14" spans="1:9">
      <c r="E14" s="13"/>
      <c r="I14" s="20"/>
    </row>
    <row r="15" spans="1:9">
      <c r="E15" s="13"/>
      <c r="I15" s="20"/>
    </row>
    <row r="16" spans="1:9">
      <c r="E16" s="13"/>
      <c r="I16" s="20"/>
    </row>
    <row r="17" spans="5:9">
      <c r="E17" s="13"/>
      <c r="I17" s="20"/>
    </row>
    <row r="18" spans="5:9">
      <c r="E18" s="13"/>
      <c r="I18" s="20"/>
    </row>
    <row r="19" spans="5:9">
      <c r="E19" s="13"/>
      <c r="I19" s="20"/>
    </row>
    <row r="20" spans="5:9">
      <c r="E20" s="13"/>
      <c r="I20" s="20"/>
    </row>
    <row r="21" spans="5:9">
      <c r="E21" s="13"/>
      <c r="I21" s="20"/>
    </row>
    <row r="22" spans="5:9">
      <c r="E22" s="13"/>
      <c r="I22" s="20"/>
    </row>
    <row r="23" spans="5:9">
      <c r="E23" s="13"/>
      <c r="I23" s="20"/>
    </row>
    <row r="24" spans="5:9">
      <c r="E24" s="13"/>
      <c r="I24" s="20"/>
    </row>
    <row r="25" spans="5:9">
      <c r="E25" s="13"/>
      <c r="I25" s="20"/>
    </row>
    <row r="26" spans="5:9">
      <c r="E26" s="13"/>
      <c r="I26" s="20"/>
    </row>
    <row r="27" spans="5:9">
      <c r="E27" s="13"/>
      <c r="I27" s="20"/>
    </row>
    <row r="28" spans="5:9">
      <c r="E28" s="13"/>
      <c r="I28" s="20"/>
    </row>
    <row r="29" spans="5:9">
      <c r="E29" s="13"/>
      <c r="I29" s="20"/>
    </row>
    <row r="30" spans="5:9">
      <c r="E30" s="13"/>
      <c r="I30" s="20"/>
    </row>
    <row r="31" spans="5:9">
      <c r="E31" s="13"/>
      <c r="I31" s="20"/>
    </row>
    <row r="32" spans="5:9">
      <c r="E32" s="13"/>
      <c r="I32" s="20"/>
    </row>
    <row r="33" spans="5:9">
      <c r="E33" s="13"/>
      <c r="I33" s="20"/>
    </row>
    <row r="34" spans="5:9">
      <c r="E34" s="13"/>
      <c r="I34" s="20"/>
    </row>
    <row r="35" spans="5:9">
      <c r="E35" s="13"/>
      <c r="I35" s="20"/>
    </row>
    <row r="36" spans="5:9">
      <c r="E36" s="13"/>
      <c r="I36" s="20"/>
    </row>
    <row r="37" spans="5:9">
      <c r="E37" s="13"/>
      <c r="I37" s="20"/>
    </row>
    <row r="38" spans="5:9">
      <c r="E38" s="13"/>
      <c r="I38" s="20"/>
    </row>
    <row r="39" spans="5:9">
      <c r="E39" s="13"/>
      <c r="I39" s="20"/>
    </row>
    <row r="40" spans="5:9">
      <c r="E40" s="13"/>
      <c r="I40" s="20"/>
    </row>
    <row r="41" spans="5:9">
      <c r="E41" s="13"/>
      <c r="I41" s="20"/>
    </row>
    <row r="42" spans="5:9">
      <c r="E42" s="13"/>
      <c r="I42" s="20"/>
    </row>
    <row r="43" spans="5:9">
      <c r="E43" s="13"/>
      <c r="I43" s="20"/>
    </row>
    <row r="44" spans="5:9">
      <c r="E44" s="13"/>
      <c r="I44" s="20"/>
    </row>
    <row r="45" spans="5:9">
      <c r="E45" s="13"/>
      <c r="I45" s="20"/>
    </row>
    <row r="46" spans="5:9">
      <c r="E46" s="13"/>
      <c r="I46" s="20"/>
    </row>
    <row r="47" spans="5:9">
      <c r="E47" s="13"/>
      <c r="I47" s="20"/>
    </row>
    <row r="48" spans="5:9">
      <c r="E48" s="13"/>
      <c r="I48" s="20"/>
    </row>
    <row r="49" spans="5:9">
      <c r="E49" s="13"/>
      <c r="I49" s="20"/>
    </row>
    <row r="50" spans="5:9">
      <c r="E50" s="13"/>
      <c r="I50" s="20"/>
    </row>
    <row r="51" spans="5:9">
      <c r="E51" s="13"/>
      <c r="I51" s="20"/>
    </row>
    <row r="52" spans="5:9">
      <c r="E52" s="13"/>
      <c r="I52" s="20"/>
    </row>
    <row r="53" spans="5:9">
      <c r="E53" s="13"/>
      <c r="I53" s="20"/>
    </row>
    <row r="54" spans="5:9">
      <c r="E54" s="13"/>
      <c r="I54" s="20"/>
    </row>
    <row r="55" spans="5:9">
      <c r="E55" s="13"/>
      <c r="I55" s="20"/>
    </row>
    <row r="56" spans="5:9">
      <c r="E56" s="13"/>
      <c r="I56" s="20"/>
    </row>
    <row r="57" spans="5:9">
      <c r="E57" s="13"/>
      <c r="I57" s="20"/>
    </row>
    <row r="58" spans="5:9">
      <c r="E58" s="13"/>
      <c r="I58" s="20"/>
    </row>
    <row r="59" spans="5:9">
      <c r="E59" s="13"/>
      <c r="I59" s="20"/>
    </row>
    <row r="60" spans="5:9">
      <c r="E60" s="13"/>
      <c r="I60" s="20"/>
    </row>
    <row r="61" spans="5:9">
      <c r="E61" s="13"/>
      <c r="I61" s="20"/>
    </row>
    <row r="62" spans="5:9">
      <c r="E62" s="13"/>
      <c r="I62" s="20"/>
    </row>
    <row r="63" spans="5:9">
      <c r="E63" s="13"/>
      <c r="I63" s="20"/>
    </row>
    <row r="64" spans="5:9">
      <c r="E64" s="13"/>
      <c r="I64" s="20"/>
    </row>
    <row r="65" spans="5:9">
      <c r="E65" s="13"/>
      <c r="I65" s="20"/>
    </row>
    <row r="66" spans="5:9">
      <c r="E66" s="13"/>
      <c r="I66" s="20"/>
    </row>
    <row r="67" spans="5:9">
      <c r="E67" s="13"/>
      <c r="I67" s="20"/>
    </row>
    <row r="68" spans="5:9">
      <c r="E68" s="13"/>
      <c r="I68" s="20"/>
    </row>
    <row r="69" spans="5:9">
      <c r="E69" s="13"/>
      <c r="I69" s="20"/>
    </row>
    <row r="70" spans="5:9">
      <c r="E70" s="13"/>
      <c r="I70" s="20"/>
    </row>
    <row r="71" spans="5:9">
      <c r="E71" s="13"/>
      <c r="I71" s="20"/>
    </row>
    <row r="72" spans="5:9">
      <c r="E72" s="13"/>
      <c r="I72" s="20"/>
    </row>
    <row r="73" spans="5:9">
      <c r="E73" s="13"/>
      <c r="I73" s="20"/>
    </row>
    <row r="74" spans="5:9">
      <c r="E74" s="13"/>
      <c r="I74" s="20"/>
    </row>
    <row r="75" spans="5:9">
      <c r="E75" s="13"/>
      <c r="I75" s="20"/>
    </row>
    <row r="76" spans="5:9">
      <c r="E76" s="13"/>
      <c r="I76" s="20"/>
    </row>
    <row r="77" spans="5:9">
      <c r="E77" s="13"/>
      <c r="I77" s="20"/>
    </row>
    <row r="78" spans="5:9">
      <c r="E78" s="13"/>
      <c r="I78" s="20"/>
    </row>
    <row r="79" spans="5:9">
      <c r="E79" s="13"/>
      <c r="I79" s="20"/>
    </row>
    <row r="80" spans="5:9">
      <c r="E80" s="13"/>
      <c r="I80" s="20"/>
    </row>
    <row r="81" spans="5:9">
      <c r="E81" s="13"/>
      <c r="I81" s="20"/>
    </row>
    <row r="82" spans="5:9">
      <c r="E82" s="13"/>
      <c r="I82" s="20"/>
    </row>
    <row r="83" spans="5:9">
      <c r="E83" s="13"/>
      <c r="I83" s="20"/>
    </row>
    <row r="84" spans="5:9">
      <c r="E84" s="13"/>
      <c r="I84" s="20"/>
    </row>
    <row r="85" spans="5:9">
      <c r="E85" s="13"/>
      <c r="I85" s="20"/>
    </row>
    <row r="86" spans="5:9">
      <c r="E86" s="13"/>
      <c r="I86" s="20"/>
    </row>
    <row r="87" spans="5:9">
      <c r="E87" s="13"/>
      <c r="I87" s="20"/>
    </row>
    <row r="88" spans="5:9">
      <c r="E88" s="13"/>
      <c r="I88" s="20"/>
    </row>
    <row r="89" spans="5:9">
      <c r="E89" s="13"/>
      <c r="I89" s="20"/>
    </row>
    <row r="90" spans="5:9">
      <c r="E90" s="13"/>
      <c r="I90" s="20"/>
    </row>
    <row r="91" spans="5:9">
      <c r="E91" s="13"/>
      <c r="I91" s="20"/>
    </row>
    <row r="92" spans="5:9">
      <c r="E92" s="13"/>
      <c r="I92" s="20"/>
    </row>
    <row r="93" spans="5:9">
      <c r="E93" s="13"/>
      <c r="I93" s="20"/>
    </row>
    <row r="94" spans="5:9">
      <c r="E94" s="13"/>
      <c r="I94" s="20"/>
    </row>
    <row r="95" spans="5:9">
      <c r="E95" s="13"/>
      <c r="I95" s="20"/>
    </row>
    <row r="96" spans="5:9">
      <c r="E96" s="13"/>
      <c r="I96" s="20"/>
    </row>
    <row r="97" spans="5:9">
      <c r="E97" s="13"/>
      <c r="I97" s="20"/>
    </row>
    <row r="98" spans="5:9">
      <c r="E98" s="13"/>
      <c r="I98" s="20"/>
    </row>
    <row r="99" spans="5:9">
      <c r="E99" s="13"/>
      <c r="I99" s="20"/>
    </row>
    <row r="100" spans="5:9">
      <c r="E100" s="13"/>
      <c r="I100" s="20"/>
    </row>
    <row r="101" spans="5:9">
      <c r="E101" s="13"/>
      <c r="I101" s="20"/>
    </row>
    <row r="102" spans="5:9">
      <c r="E102" s="13"/>
      <c r="I102" s="20"/>
    </row>
    <row r="103" spans="5:9">
      <c r="E103" s="13"/>
      <c r="I103" s="20"/>
    </row>
    <row r="104" spans="5:9">
      <c r="E104" s="13"/>
      <c r="I104" s="20"/>
    </row>
    <row r="105" spans="5:9">
      <c r="E105" s="13"/>
      <c r="I105" s="20"/>
    </row>
    <row r="106" spans="5:9">
      <c r="E106" s="13"/>
      <c r="I106" s="20"/>
    </row>
    <row r="107" spans="5:9">
      <c r="E107" s="13"/>
      <c r="I107" s="20"/>
    </row>
    <row r="108" spans="5:9">
      <c r="E108" s="13"/>
      <c r="I108" s="20"/>
    </row>
    <row r="109" spans="5:9">
      <c r="E109" s="13"/>
      <c r="I109" s="20"/>
    </row>
    <row r="110" spans="5:9">
      <c r="E110" s="13"/>
      <c r="I110" s="20"/>
    </row>
    <row r="111" spans="5:9">
      <c r="E111" s="13"/>
      <c r="I111" s="20"/>
    </row>
    <row r="112" spans="5:9">
      <c r="E112" s="13"/>
      <c r="I112" s="20"/>
    </row>
    <row r="113" spans="5:9">
      <c r="E113" s="13"/>
      <c r="I113" s="20"/>
    </row>
    <row r="114" spans="5:9">
      <c r="E114" s="13"/>
      <c r="I114" s="20"/>
    </row>
    <row r="115" spans="5:9">
      <c r="E115" s="13"/>
      <c r="I115" s="20"/>
    </row>
    <row r="116" spans="5:9">
      <c r="E116" s="13"/>
      <c r="I116" s="20"/>
    </row>
    <row r="117" spans="5:9">
      <c r="E117" s="13"/>
      <c r="I117" s="20"/>
    </row>
    <row r="118" spans="5:9">
      <c r="E118" s="13"/>
      <c r="I118" s="20"/>
    </row>
    <row r="119" spans="5:9">
      <c r="E119" s="13"/>
      <c r="I119" s="20"/>
    </row>
    <row r="120" spans="5:9">
      <c r="E120" s="13"/>
      <c r="I120" s="20"/>
    </row>
    <row r="121" spans="5:9">
      <c r="E121" s="13"/>
      <c r="I121" s="20"/>
    </row>
    <row r="122" spans="5:9">
      <c r="E122" s="13"/>
      <c r="I122" s="20"/>
    </row>
    <row r="123" spans="5:9">
      <c r="E123" s="13"/>
      <c r="I123" s="20"/>
    </row>
    <row r="124" spans="5:9">
      <c r="E124" s="13"/>
      <c r="I124" s="20"/>
    </row>
    <row r="125" spans="5:9">
      <c r="E125" s="13"/>
      <c r="I125" s="20"/>
    </row>
    <row r="126" spans="5:9">
      <c r="E126" s="13"/>
      <c r="I126" s="20"/>
    </row>
    <row r="127" spans="5:9">
      <c r="E127" s="13"/>
      <c r="I127" s="20"/>
    </row>
    <row r="128" spans="5:9">
      <c r="E128" s="13"/>
      <c r="I128" s="20"/>
    </row>
    <row r="129" spans="5:9">
      <c r="E129" s="13"/>
      <c r="I129" s="20"/>
    </row>
    <row r="130" spans="5:9">
      <c r="E130" s="13"/>
      <c r="I130" s="20"/>
    </row>
    <row r="131" spans="5:9">
      <c r="E131" s="13"/>
      <c r="I131" s="20"/>
    </row>
    <row r="132" spans="5:9">
      <c r="E132" s="13"/>
      <c r="I132" s="20"/>
    </row>
    <row r="133" spans="5:9">
      <c r="E133" s="13"/>
      <c r="I133" s="20"/>
    </row>
    <row r="134" spans="5:9">
      <c r="E134" s="13"/>
      <c r="I134" s="20"/>
    </row>
    <row r="135" spans="5:9">
      <c r="E135" s="13"/>
      <c r="I135" s="20"/>
    </row>
    <row r="136" spans="5:9">
      <c r="E136" s="13"/>
      <c r="I136" s="20"/>
    </row>
    <row r="137" spans="5:9">
      <c r="E137" s="13"/>
      <c r="I137" s="20"/>
    </row>
    <row r="138" spans="5:9">
      <c r="E138" s="13"/>
      <c r="I138" s="20"/>
    </row>
    <row r="139" spans="5:9">
      <c r="E139" s="13"/>
      <c r="I139" s="20"/>
    </row>
    <row r="140" spans="5:9">
      <c r="E140" s="13"/>
      <c r="I140" s="20"/>
    </row>
    <row r="141" spans="5:9">
      <c r="E141" s="13"/>
      <c r="I141" s="20"/>
    </row>
    <row r="142" spans="5:9">
      <c r="E142" s="13"/>
      <c r="I142" s="20"/>
    </row>
    <row r="143" spans="5:9">
      <c r="E143" s="13"/>
      <c r="I143" s="20"/>
    </row>
    <row r="144" spans="5:9">
      <c r="E144" s="13"/>
      <c r="I144" s="20"/>
    </row>
    <row r="145" spans="5:9">
      <c r="E145" s="13"/>
      <c r="I145" s="20"/>
    </row>
    <row r="146" spans="5:9">
      <c r="E146" s="13"/>
      <c r="I146" s="20"/>
    </row>
    <row r="147" spans="5:9">
      <c r="E147" s="13"/>
      <c r="I147" s="20"/>
    </row>
    <row r="148" spans="5:9">
      <c r="E148" s="13"/>
      <c r="I148" s="20"/>
    </row>
    <row r="149" spans="5:9">
      <c r="E149" s="13"/>
      <c r="I149" s="20"/>
    </row>
    <row r="150" spans="5:9">
      <c r="E150" s="13"/>
      <c r="I150" s="20"/>
    </row>
    <row r="151" spans="5:9">
      <c r="E151" s="13"/>
      <c r="I151" s="20"/>
    </row>
    <row r="152" spans="5:9">
      <c r="E152" s="13"/>
      <c r="I152" s="20"/>
    </row>
    <row r="153" spans="5:9">
      <c r="E153" s="13"/>
      <c r="I153" s="20"/>
    </row>
    <row r="154" spans="5:9">
      <c r="E154" s="13"/>
      <c r="I154" s="20"/>
    </row>
    <row r="155" spans="5:9">
      <c r="E155" s="13"/>
      <c r="I155" s="20"/>
    </row>
    <row r="156" spans="5:9">
      <c r="E156" s="13"/>
      <c r="I156" s="20"/>
    </row>
    <row r="157" spans="5:9">
      <c r="E157" s="13"/>
      <c r="I157" s="20"/>
    </row>
    <row r="158" spans="5:9">
      <c r="E158" s="13"/>
      <c r="I158" s="20"/>
    </row>
    <row r="159" spans="5:9">
      <c r="E159" s="13"/>
      <c r="I159" s="20"/>
    </row>
    <row r="160" spans="5:9">
      <c r="E160" s="13"/>
      <c r="I160" s="20"/>
    </row>
    <row r="161" spans="5:9">
      <c r="E161" s="13"/>
      <c r="I161" s="20"/>
    </row>
    <row r="162" spans="5:9">
      <c r="E162" s="13"/>
      <c r="I162" s="20"/>
    </row>
    <row r="163" spans="5:9">
      <c r="E163" s="13"/>
      <c r="I163" s="20"/>
    </row>
    <row r="164" spans="5:9">
      <c r="E164" s="13"/>
      <c r="I164" s="20"/>
    </row>
    <row r="165" spans="5:9">
      <c r="E165" s="13"/>
      <c r="I165" s="20"/>
    </row>
    <row r="166" spans="5:9">
      <c r="E166" s="13"/>
      <c r="I166" s="20"/>
    </row>
    <row r="167" spans="5:9">
      <c r="E167" s="13"/>
      <c r="I167" s="20"/>
    </row>
    <row r="168" spans="5:9">
      <c r="E168" s="13"/>
      <c r="I168" s="20"/>
    </row>
    <row r="169" spans="5:9">
      <c r="E169" s="13"/>
      <c r="I169" s="20"/>
    </row>
    <row r="170" spans="5:9">
      <c r="E170" s="13"/>
      <c r="I170" s="20"/>
    </row>
    <row r="171" spans="5:9">
      <c r="E171" s="13"/>
      <c r="I171" s="20"/>
    </row>
    <row r="172" spans="5:9">
      <c r="E172" s="13"/>
      <c r="I172" s="20"/>
    </row>
    <row r="173" spans="5:9">
      <c r="E173" s="13"/>
      <c r="I173" s="20"/>
    </row>
    <row r="174" spans="5:9">
      <c r="E174" s="13"/>
      <c r="I174" s="20"/>
    </row>
    <row r="175" spans="5:9">
      <c r="E175" s="13"/>
      <c r="I175" s="20"/>
    </row>
    <row r="176" spans="5:9">
      <c r="E176" s="13"/>
      <c r="I176" s="20"/>
    </row>
    <row r="177" spans="5:9">
      <c r="E177" s="13"/>
      <c r="I177" s="20"/>
    </row>
    <row r="178" spans="5:9">
      <c r="E178" s="13"/>
      <c r="I178" s="20"/>
    </row>
    <row r="179" spans="5:9">
      <c r="E179" s="13"/>
      <c r="I179" s="20"/>
    </row>
    <row r="180" spans="5:9">
      <c r="E180" s="13"/>
      <c r="I180" s="20"/>
    </row>
    <row r="181" spans="5:9">
      <c r="E181" s="13"/>
      <c r="I181" s="20"/>
    </row>
    <row r="182" spans="5:9">
      <c r="E182" s="13"/>
      <c r="I182" s="20"/>
    </row>
    <row r="183" spans="5:9">
      <c r="E183" s="13"/>
      <c r="I183" s="20"/>
    </row>
    <row r="184" spans="5:9">
      <c r="E184" s="13"/>
      <c r="I184" s="20"/>
    </row>
    <row r="185" spans="5:9">
      <c r="E185" s="13"/>
      <c r="I185" s="20"/>
    </row>
    <row r="186" spans="5:9">
      <c r="E186" s="13"/>
      <c r="I186" s="20"/>
    </row>
    <row r="187" spans="5:9">
      <c r="E187" s="13"/>
      <c r="I187" s="20"/>
    </row>
    <row r="188" spans="5:9">
      <c r="E188" s="13"/>
      <c r="I188" s="20"/>
    </row>
    <row r="189" spans="5:9">
      <c r="E189" s="13"/>
      <c r="I189" s="20"/>
    </row>
    <row r="190" spans="5:9">
      <c r="E190" s="13"/>
      <c r="I190" s="20"/>
    </row>
    <row r="191" spans="5:9">
      <c r="E191" s="13"/>
      <c r="I191" s="20"/>
    </row>
    <row r="192" spans="5:9">
      <c r="E192" s="13"/>
      <c r="I192" s="20"/>
    </row>
    <row r="193" spans="5:9">
      <c r="E193" s="13"/>
      <c r="I193" s="20"/>
    </row>
    <row r="194" spans="5:9">
      <c r="E194" s="13"/>
      <c r="I194" s="20"/>
    </row>
    <row r="195" spans="5:9">
      <c r="E195" s="13"/>
      <c r="I195" s="20"/>
    </row>
    <row r="196" spans="5:9">
      <c r="E196" s="13"/>
      <c r="I196" s="20"/>
    </row>
    <row r="197" spans="5:9">
      <c r="E197" s="13"/>
      <c r="I197" s="20"/>
    </row>
    <row r="198" spans="5:9">
      <c r="E198" s="13"/>
      <c r="I198" s="20"/>
    </row>
    <row r="199" spans="5:9">
      <c r="E199" s="13"/>
      <c r="I199" s="20"/>
    </row>
    <row r="200" spans="5:9">
      <c r="E200" s="13"/>
      <c r="I200" s="20"/>
    </row>
    <row r="201" spans="5:9">
      <c r="E201" s="13"/>
      <c r="I201" s="20"/>
    </row>
    <row r="202" spans="5:9">
      <c r="E202" s="13"/>
      <c r="I202" s="20"/>
    </row>
    <row r="203" spans="5:9">
      <c r="E203" s="13"/>
      <c r="I203" s="20"/>
    </row>
    <row r="204" spans="5:9">
      <c r="E204" s="13"/>
      <c r="I204" s="20"/>
    </row>
    <row r="205" spans="5:9">
      <c r="E205" s="13"/>
      <c r="I205" s="20"/>
    </row>
    <row r="206" spans="5:9">
      <c r="E206" s="13"/>
      <c r="I206" s="20"/>
    </row>
    <row r="207" spans="5:9">
      <c r="E207" s="13"/>
      <c r="I207" s="20"/>
    </row>
    <row r="208" spans="5:9">
      <c r="E208" s="13"/>
      <c r="I208" s="20"/>
    </row>
    <row r="209" spans="5:9">
      <c r="E209" s="13"/>
      <c r="I209" s="20"/>
    </row>
    <row r="210" spans="5:9">
      <c r="E210" s="13"/>
      <c r="I210" s="20"/>
    </row>
    <row r="211" spans="5:9">
      <c r="E211" s="13"/>
      <c r="I211" s="20"/>
    </row>
    <row r="212" spans="5:9">
      <c r="E212" s="13"/>
      <c r="I212" s="20"/>
    </row>
    <row r="213" spans="5:9">
      <c r="E213" s="13"/>
      <c r="I213" s="20"/>
    </row>
    <row r="214" spans="5:9">
      <c r="E214" s="13"/>
      <c r="I214" s="20"/>
    </row>
    <row r="215" spans="5:9">
      <c r="E215" s="13"/>
      <c r="I215" s="20"/>
    </row>
    <row r="216" spans="5:9">
      <c r="E216" s="13"/>
      <c r="I216" s="20"/>
    </row>
    <row r="217" spans="5:9">
      <c r="E217" s="13"/>
      <c r="I217" s="20"/>
    </row>
    <row r="218" spans="5:9">
      <c r="E218" s="13"/>
      <c r="I218" s="20"/>
    </row>
    <row r="219" spans="5:9">
      <c r="E219" s="13"/>
      <c r="I219" s="20"/>
    </row>
    <row r="220" spans="5:9">
      <c r="E220" s="13"/>
      <c r="I220" s="20"/>
    </row>
    <row r="221" spans="5:9">
      <c r="E221" s="13"/>
      <c r="I221" s="20"/>
    </row>
    <row r="222" spans="5:9">
      <c r="E222" s="13"/>
      <c r="I222" s="20"/>
    </row>
    <row r="223" spans="5:9">
      <c r="E223" s="13"/>
      <c r="I223" s="20"/>
    </row>
    <row r="224" spans="5:9">
      <c r="E224" s="13"/>
      <c r="I224" s="20"/>
    </row>
    <row r="225" spans="5:9">
      <c r="E225" s="13"/>
      <c r="I225" s="20"/>
    </row>
    <row r="226" spans="5:9">
      <c r="E226" s="13"/>
      <c r="I226" s="20"/>
    </row>
    <row r="227" spans="5:9">
      <c r="E227" s="13"/>
      <c r="I227" s="20"/>
    </row>
    <row r="228" spans="5:9">
      <c r="E228" s="13"/>
      <c r="I228" s="20"/>
    </row>
    <row r="229" spans="5:9">
      <c r="E229" s="13"/>
      <c r="I229" s="20"/>
    </row>
    <row r="230" spans="5:9">
      <c r="E230" s="13"/>
      <c r="I230" s="20"/>
    </row>
    <row r="231" spans="5:9">
      <c r="E231" s="13"/>
      <c r="I231" s="20"/>
    </row>
    <row r="232" spans="5:9">
      <c r="E232" s="13"/>
      <c r="I232" s="20"/>
    </row>
    <row r="233" spans="5:9">
      <c r="E233" s="13"/>
      <c r="I233" s="20"/>
    </row>
    <row r="234" spans="5:9">
      <c r="E234" s="13"/>
      <c r="I234" s="20"/>
    </row>
    <row r="235" spans="5:9">
      <c r="E235" s="13"/>
      <c r="I235" s="20"/>
    </row>
    <row r="236" spans="5:9">
      <c r="E236" s="13"/>
      <c r="I236" s="20"/>
    </row>
  </sheetData>
  <mergeCells count="1">
    <mergeCell ref="A1:I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5B06-2D64-4B41-84DD-BE9E85B8D525}">
  <dimension ref="A1:H37"/>
  <sheetViews>
    <sheetView workbookViewId="0">
      <selection activeCell="J11" sqref="J11"/>
    </sheetView>
  </sheetViews>
  <sheetFormatPr baseColWidth="10" defaultRowHeight="15"/>
  <sheetData>
    <row r="1" spans="1:8">
      <c r="A1" s="21" t="s">
        <v>128</v>
      </c>
      <c r="B1" s="21"/>
      <c r="C1" s="21"/>
      <c r="D1" s="21"/>
      <c r="E1" s="21"/>
      <c r="F1" s="21"/>
      <c r="G1" s="21"/>
      <c r="H1" s="21"/>
    </row>
    <row r="2" spans="1:8">
      <c r="A2" t="s">
        <v>116</v>
      </c>
      <c r="B2" t="s">
        <v>117</v>
      </c>
      <c r="C2" t="s">
        <v>118</v>
      </c>
      <c r="D2" t="s">
        <v>104</v>
      </c>
      <c r="E2" t="s">
        <v>119</v>
      </c>
      <c r="F2" t="s">
        <v>120</v>
      </c>
      <c r="G2" t="s">
        <v>121</v>
      </c>
      <c r="H2" t="s">
        <v>122</v>
      </c>
    </row>
    <row r="3" spans="1:8">
      <c r="E3" s="13"/>
      <c r="H3" s="20"/>
    </row>
    <row r="4" spans="1:8">
      <c r="E4" s="13"/>
      <c r="H4" s="20"/>
    </row>
    <row r="5" spans="1:8">
      <c r="E5" s="13"/>
      <c r="H5" s="20"/>
    </row>
    <row r="6" spans="1:8">
      <c r="E6" s="13"/>
      <c r="H6" s="20"/>
    </row>
    <row r="7" spans="1:8">
      <c r="E7" s="13"/>
      <c r="H7" s="20"/>
    </row>
    <row r="8" spans="1:8">
      <c r="E8" s="13"/>
      <c r="H8" s="20"/>
    </row>
    <row r="9" spans="1:8">
      <c r="E9" s="13"/>
      <c r="H9" s="20"/>
    </row>
    <row r="10" spans="1:8">
      <c r="E10" s="13"/>
      <c r="H10" s="20"/>
    </row>
    <row r="11" spans="1:8">
      <c r="E11" s="13"/>
      <c r="H11" s="20"/>
    </row>
    <row r="12" spans="1:8">
      <c r="E12" s="13"/>
      <c r="H12" s="20"/>
    </row>
    <row r="13" spans="1:8">
      <c r="E13" s="13"/>
      <c r="H13" s="20"/>
    </row>
    <row r="14" spans="1:8">
      <c r="E14" s="13"/>
      <c r="H14" s="20"/>
    </row>
    <row r="15" spans="1:8">
      <c r="E15" s="13"/>
      <c r="H15" s="20"/>
    </row>
    <row r="16" spans="1:8">
      <c r="E16" s="13"/>
      <c r="H16" s="20"/>
    </row>
    <row r="17" spans="5:8">
      <c r="E17" s="13"/>
      <c r="H17" s="20"/>
    </row>
    <row r="18" spans="5:8">
      <c r="E18" s="13"/>
      <c r="H18" s="20"/>
    </row>
    <row r="19" spans="5:8">
      <c r="E19" s="13"/>
      <c r="H19" s="20"/>
    </row>
    <row r="20" spans="5:8">
      <c r="E20" s="13"/>
      <c r="H20" s="20"/>
    </row>
    <row r="21" spans="5:8">
      <c r="E21" s="13"/>
      <c r="H21" s="20"/>
    </row>
    <row r="22" spans="5:8">
      <c r="E22" s="13"/>
      <c r="H22" s="20"/>
    </row>
    <row r="23" spans="5:8">
      <c r="E23" s="13"/>
      <c r="H23" s="20"/>
    </row>
    <row r="24" spans="5:8">
      <c r="E24" s="13"/>
      <c r="H24" s="20"/>
    </row>
    <row r="25" spans="5:8">
      <c r="E25" s="13"/>
      <c r="H25" s="20"/>
    </row>
    <row r="26" spans="5:8">
      <c r="E26" s="13"/>
      <c r="H26" s="20"/>
    </row>
    <row r="27" spans="5:8">
      <c r="E27" s="13"/>
      <c r="H27" s="20"/>
    </row>
    <row r="28" spans="5:8">
      <c r="E28" s="13"/>
      <c r="H28" s="20"/>
    </row>
    <row r="29" spans="5:8">
      <c r="E29" s="13"/>
      <c r="H29" s="20"/>
    </row>
    <row r="30" spans="5:8">
      <c r="E30" s="13"/>
      <c r="H30" s="20"/>
    </row>
    <row r="31" spans="5:8">
      <c r="E31" s="13"/>
      <c r="H31" s="20"/>
    </row>
    <row r="32" spans="5:8">
      <c r="E32" s="13"/>
      <c r="H32" s="20"/>
    </row>
    <row r="33" spans="5:8">
      <c r="E33" s="13"/>
      <c r="H33" s="11"/>
    </row>
    <row r="34" spans="5:8">
      <c r="E34" s="13"/>
      <c r="H34" s="11"/>
    </row>
    <row r="35" spans="5:8">
      <c r="E35" s="13"/>
      <c r="H35" s="11"/>
    </row>
    <row r="36" spans="5:8">
      <c r="E36" s="13"/>
      <c r="H36" s="11"/>
    </row>
    <row r="37" spans="5:8">
      <c r="E37" s="13"/>
      <c r="H37" s="11"/>
    </row>
  </sheetData>
  <mergeCells count="1">
    <mergeCell ref="A1:H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CC4C-E348-4934-B14B-FF1A4D328F09}">
  <dimension ref="A1:I323"/>
  <sheetViews>
    <sheetView workbookViewId="0">
      <selection activeCell="H14" sqref="H14"/>
    </sheetView>
  </sheetViews>
  <sheetFormatPr baseColWidth="10" defaultRowHeight="15"/>
  <cols>
    <col min="1" max="1" width="18" bestFit="1" customWidth="1"/>
    <col min="2" max="2" width="44.42578125" bestFit="1" customWidth="1"/>
    <col min="3" max="3" width="25.28515625" bestFit="1" customWidth="1"/>
    <col min="4" max="4" width="17.140625" bestFit="1" customWidth="1"/>
    <col min="5" max="5" width="21.85546875" bestFit="1" customWidth="1"/>
    <col min="6" max="6" width="38.28515625" bestFit="1" customWidth="1"/>
    <col min="7" max="7" width="48.28515625" customWidth="1"/>
    <col min="8" max="8" width="14.5703125" bestFit="1" customWidth="1"/>
    <col min="9" max="9" width="16.42578125" bestFit="1" customWidth="1"/>
  </cols>
  <sheetData>
    <row r="1" spans="1:9">
      <c r="A1" s="21" t="s">
        <v>129</v>
      </c>
      <c r="B1" s="21"/>
      <c r="C1" s="21"/>
      <c r="D1" s="21"/>
      <c r="E1" s="21"/>
      <c r="F1" s="21"/>
      <c r="G1" s="21"/>
      <c r="H1" s="21"/>
      <c r="I1" s="21"/>
    </row>
    <row r="2" spans="1:9">
      <c r="A2" t="s">
        <v>116</v>
      </c>
      <c r="B2" t="s">
        <v>117</v>
      </c>
      <c r="C2" t="s">
        <v>118</v>
      </c>
      <c r="D2" t="s">
        <v>104</v>
      </c>
      <c r="E2" t="s">
        <v>119</v>
      </c>
      <c r="F2" t="s">
        <v>120</v>
      </c>
      <c r="G2" t="s">
        <v>121</v>
      </c>
      <c r="H2" t="s">
        <v>123</v>
      </c>
      <c r="I2" t="s">
        <v>122</v>
      </c>
    </row>
    <row r="3" spans="1:9">
      <c r="E3" s="13"/>
      <c r="I3" s="20"/>
    </row>
    <row r="4" spans="1:9">
      <c r="E4" s="13"/>
      <c r="I4" s="20"/>
    </row>
    <row r="5" spans="1:9">
      <c r="E5" s="13"/>
      <c r="I5" s="20"/>
    </row>
    <row r="6" spans="1:9">
      <c r="E6" s="13"/>
      <c r="I6" s="20"/>
    </row>
    <row r="7" spans="1:9">
      <c r="E7" s="13"/>
      <c r="I7" s="20"/>
    </row>
    <row r="8" spans="1:9">
      <c r="E8" s="13"/>
      <c r="I8" s="20"/>
    </row>
    <row r="9" spans="1:9">
      <c r="E9" s="13"/>
      <c r="I9" s="20"/>
    </row>
    <row r="10" spans="1:9">
      <c r="E10" s="13"/>
      <c r="I10" s="20"/>
    </row>
    <row r="11" spans="1:9">
      <c r="E11" s="13"/>
      <c r="I11" s="20"/>
    </row>
    <row r="12" spans="1:9">
      <c r="E12" s="13"/>
      <c r="I12" s="20"/>
    </row>
    <row r="13" spans="1:9">
      <c r="E13" s="13"/>
      <c r="I13" s="20"/>
    </row>
    <row r="14" spans="1:9">
      <c r="E14" s="13"/>
      <c r="I14" s="20"/>
    </row>
    <row r="15" spans="1:9">
      <c r="E15" s="13"/>
      <c r="I15" s="20"/>
    </row>
    <row r="16" spans="1:9">
      <c r="E16" s="13"/>
      <c r="I16" s="20"/>
    </row>
    <row r="17" spans="5:9">
      <c r="E17" s="13"/>
      <c r="I17" s="20"/>
    </row>
    <row r="18" spans="5:9">
      <c r="E18" s="13"/>
      <c r="I18" s="20"/>
    </row>
    <row r="19" spans="5:9">
      <c r="E19" s="13"/>
      <c r="I19" s="20"/>
    </row>
    <row r="20" spans="5:9">
      <c r="E20" s="13"/>
      <c r="I20" s="20"/>
    </row>
    <row r="21" spans="5:9">
      <c r="E21" s="13"/>
      <c r="I21" s="20"/>
    </row>
    <row r="22" spans="5:9">
      <c r="E22" s="13"/>
      <c r="I22" s="20"/>
    </row>
    <row r="23" spans="5:9">
      <c r="E23" s="13"/>
      <c r="I23" s="20"/>
    </row>
    <row r="24" spans="5:9">
      <c r="E24" s="13"/>
      <c r="I24" s="20"/>
    </row>
    <row r="25" spans="5:9">
      <c r="E25" s="13"/>
      <c r="I25" s="20"/>
    </row>
    <row r="26" spans="5:9">
      <c r="E26" s="13"/>
      <c r="I26" s="20"/>
    </row>
    <row r="27" spans="5:9">
      <c r="E27" s="13"/>
      <c r="I27" s="20"/>
    </row>
    <row r="28" spans="5:9">
      <c r="E28" s="13"/>
      <c r="I28" s="20"/>
    </row>
    <row r="29" spans="5:9">
      <c r="E29" s="13"/>
      <c r="I29" s="20"/>
    </row>
    <row r="30" spans="5:9">
      <c r="E30" s="13"/>
      <c r="I30" s="20"/>
    </row>
    <row r="31" spans="5:9">
      <c r="E31" s="13"/>
      <c r="I31" s="20"/>
    </row>
    <row r="32" spans="5:9">
      <c r="E32" s="13"/>
      <c r="I32" s="20"/>
    </row>
    <row r="33" spans="5:9">
      <c r="E33" s="13"/>
      <c r="I33" s="20"/>
    </row>
    <row r="34" spans="5:9">
      <c r="E34" s="13"/>
      <c r="I34" s="20"/>
    </row>
    <row r="35" spans="5:9">
      <c r="E35" s="13"/>
      <c r="I35" s="20"/>
    </row>
    <row r="36" spans="5:9">
      <c r="E36" s="13"/>
      <c r="I36" s="20"/>
    </row>
    <row r="37" spans="5:9">
      <c r="E37" s="13"/>
      <c r="I37" s="20"/>
    </row>
    <row r="38" spans="5:9">
      <c r="E38" s="13"/>
      <c r="I38" s="20"/>
    </row>
    <row r="39" spans="5:9">
      <c r="E39" s="13"/>
      <c r="I39" s="20"/>
    </row>
    <row r="40" spans="5:9">
      <c r="E40" s="13"/>
      <c r="I40" s="20"/>
    </row>
    <row r="41" spans="5:9">
      <c r="E41" s="13"/>
      <c r="I41" s="20"/>
    </row>
    <row r="42" spans="5:9">
      <c r="E42" s="13"/>
      <c r="I42" s="20"/>
    </row>
    <row r="43" spans="5:9">
      <c r="E43" s="13"/>
      <c r="I43" s="20"/>
    </row>
    <row r="44" spans="5:9">
      <c r="E44" s="13"/>
      <c r="I44" s="20"/>
    </row>
    <row r="45" spans="5:9">
      <c r="E45" s="13"/>
      <c r="I45" s="20"/>
    </row>
    <row r="46" spans="5:9">
      <c r="E46" s="13"/>
      <c r="I46" s="20"/>
    </row>
    <row r="47" spans="5:9">
      <c r="E47" s="13"/>
      <c r="I47" s="20"/>
    </row>
    <row r="48" spans="5:9">
      <c r="E48" s="13"/>
      <c r="I48" s="20"/>
    </row>
    <row r="49" spans="5:9">
      <c r="E49" s="13"/>
      <c r="I49" s="20"/>
    </row>
    <row r="50" spans="5:9">
      <c r="E50" s="13"/>
      <c r="I50" s="20"/>
    </row>
    <row r="51" spans="5:9">
      <c r="E51" s="13"/>
      <c r="I51" s="20"/>
    </row>
    <row r="52" spans="5:9">
      <c r="E52" s="13"/>
      <c r="I52" s="20"/>
    </row>
    <row r="53" spans="5:9">
      <c r="E53" s="13"/>
      <c r="I53" s="20"/>
    </row>
    <row r="54" spans="5:9">
      <c r="E54" s="13"/>
      <c r="I54" s="20"/>
    </row>
    <row r="55" spans="5:9">
      <c r="E55" s="13"/>
      <c r="I55" s="20"/>
    </row>
    <row r="56" spans="5:9">
      <c r="E56" s="13"/>
      <c r="I56" s="20"/>
    </row>
    <row r="57" spans="5:9">
      <c r="E57" s="13"/>
      <c r="I57" s="20"/>
    </row>
    <row r="58" spans="5:9">
      <c r="E58" s="13"/>
      <c r="I58" s="20"/>
    </row>
    <row r="59" spans="5:9">
      <c r="E59" s="13"/>
      <c r="I59" s="20"/>
    </row>
    <row r="60" spans="5:9">
      <c r="E60" s="13"/>
      <c r="I60" s="20"/>
    </row>
    <row r="61" spans="5:9">
      <c r="E61" s="13"/>
      <c r="I61" s="20"/>
    </row>
    <row r="62" spans="5:9">
      <c r="E62" s="13"/>
      <c r="I62" s="20"/>
    </row>
    <row r="63" spans="5:9">
      <c r="E63" s="13"/>
      <c r="I63" s="20"/>
    </row>
    <row r="64" spans="5:9">
      <c r="E64" s="13"/>
      <c r="I64" s="20"/>
    </row>
    <row r="65" spans="5:9">
      <c r="E65" s="13"/>
      <c r="I65" s="20"/>
    </row>
    <row r="66" spans="5:9">
      <c r="E66" s="13"/>
      <c r="I66" s="20"/>
    </row>
    <row r="67" spans="5:9">
      <c r="E67" s="13"/>
      <c r="I67" s="20"/>
    </row>
    <row r="68" spans="5:9">
      <c r="E68" s="13"/>
      <c r="I68" s="20"/>
    </row>
    <row r="69" spans="5:9">
      <c r="E69" s="13"/>
      <c r="I69" s="20"/>
    </row>
    <row r="70" spans="5:9">
      <c r="E70" s="13"/>
      <c r="I70" s="20"/>
    </row>
    <row r="71" spans="5:9">
      <c r="E71" s="13"/>
      <c r="I71" s="20"/>
    </row>
    <row r="72" spans="5:9">
      <c r="E72" s="13"/>
      <c r="I72" s="20"/>
    </row>
    <row r="73" spans="5:9">
      <c r="E73" s="13"/>
      <c r="I73" s="20"/>
    </row>
    <row r="74" spans="5:9">
      <c r="E74" s="13"/>
      <c r="I74" s="20"/>
    </row>
    <row r="75" spans="5:9">
      <c r="E75" s="13"/>
      <c r="I75" s="20"/>
    </row>
    <row r="76" spans="5:9">
      <c r="E76" s="13"/>
      <c r="I76" s="20"/>
    </row>
    <row r="77" spans="5:9">
      <c r="E77" s="13"/>
      <c r="I77" s="20"/>
    </row>
    <row r="78" spans="5:9">
      <c r="E78" s="13"/>
      <c r="I78" s="20"/>
    </row>
    <row r="79" spans="5:9">
      <c r="E79" s="13"/>
      <c r="I79" s="20"/>
    </row>
    <row r="80" spans="5:9">
      <c r="E80" s="13"/>
      <c r="I80" s="20"/>
    </row>
    <row r="81" spans="5:9">
      <c r="E81" s="13"/>
      <c r="I81" s="20"/>
    </row>
    <row r="82" spans="5:9">
      <c r="E82" s="13"/>
      <c r="I82" s="20"/>
    </row>
    <row r="83" spans="5:9">
      <c r="E83" s="13"/>
      <c r="I83" s="20"/>
    </row>
    <row r="84" spans="5:9">
      <c r="E84" s="13"/>
      <c r="I84" s="20"/>
    </row>
    <row r="85" spans="5:9">
      <c r="E85" s="13"/>
      <c r="I85" s="20"/>
    </row>
    <row r="86" spans="5:9">
      <c r="E86" s="13"/>
      <c r="I86" s="20"/>
    </row>
    <row r="87" spans="5:9">
      <c r="E87" s="13"/>
      <c r="I87" s="20"/>
    </row>
    <row r="88" spans="5:9">
      <c r="E88" s="13"/>
      <c r="I88" s="20"/>
    </row>
    <row r="89" spans="5:9">
      <c r="E89" s="13"/>
      <c r="I89" s="20"/>
    </row>
    <row r="90" spans="5:9">
      <c r="E90" s="13"/>
      <c r="I90" s="20"/>
    </row>
    <row r="91" spans="5:9">
      <c r="E91" s="13"/>
      <c r="I91" s="20"/>
    </row>
    <row r="92" spans="5:9">
      <c r="E92" s="13"/>
      <c r="I92" s="20"/>
    </row>
    <row r="93" spans="5:9">
      <c r="E93" s="13"/>
      <c r="I93" s="20"/>
    </row>
    <row r="94" spans="5:9">
      <c r="E94" s="13"/>
      <c r="I94" s="20"/>
    </row>
    <row r="95" spans="5:9">
      <c r="E95" s="13"/>
      <c r="I95" s="20"/>
    </row>
    <row r="96" spans="5:9">
      <c r="E96" s="13"/>
      <c r="I96" s="20"/>
    </row>
    <row r="97" spans="5:9">
      <c r="E97" s="13"/>
      <c r="I97" s="20"/>
    </row>
    <row r="98" spans="5:9">
      <c r="E98" s="13"/>
      <c r="I98" s="20"/>
    </row>
    <row r="99" spans="5:9">
      <c r="E99" s="13"/>
      <c r="I99" s="20"/>
    </row>
    <row r="100" spans="5:9">
      <c r="E100" s="13"/>
      <c r="I100" s="20"/>
    </row>
    <row r="101" spans="5:9">
      <c r="E101" s="13"/>
      <c r="I101" s="20"/>
    </row>
    <row r="102" spans="5:9">
      <c r="E102" s="13"/>
      <c r="I102" s="20"/>
    </row>
    <row r="103" spans="5:9">
      <c r="E103" s="13"/>
      <c r="I103" s="20"/>
    </row>
    <row r="104" spans="5:9">
      <c r="E104" s="13"/>
      <c r="I104" s="20"/>
    </row>
    <row r="105" spans="5:9">
      <c r="E105" s="13"/>
      <c r="I105" s="20"/>
    </row>
    <row r="106" spans="5:9">
      <c r="E106" s="13"/>
      <c r="I106" s="20"/>
    </row>
    <row r="107" spans="5:9">
      <c r="E107" s="13"/>
      <c r="I107" s="20"/>
    </row>
    <row r="108" spans="5:9">
      <c r="E108" s="13"/>
      <c r="I108" s="20"/>
    </row>
    <row r="109" spans="5:9">
      <c r="E109" s="13"/>
      <c r="I109" s="20"/>
    </row>
    <row r="110" spans="5:9">
      <c r="E110" s="13"/>
      <c r="I110" s="20"/>
    </row>
    <row r="111" spans="5:9">
      <c r="E111" s="13"/>
      <c r="I111" s="20"/>
    </row>
    <row r="112" spans="5:9">
      <c r="E112" s="13"/>
      <c r="I112" s="20"/>
    </row>
    <row r="113" spans="5:9">
      <c r="E113" s="13"/>
      <c r="I113" s="20"/>
    </row>
    <row r="114" spans="5:9">
      <c r="E114" s="13"/>
      <c r="I114" s="20"/>
    </row>
    <row r="115" spans="5:9">
      <c r="E115" s="13"/>
      <c r="I115" s="20"/>
    </row>
    <row r="116" spans="5:9">
      <c r="E116" s="13"/>
      <c r="I116" s="20"/>
    </row>
    <row r="117" spans="5:9">
      <c r="E117" s="13"/>
      <c r="I117" s="20"/>
    </row>
    <row r="118" spans="5:9">
      <c r="E118" s="13"/>
      <c r="I118" s="20"/>
    </row>
    <row r="119" spans="5:9">
      <c r="E119" s="13"/>
      <c r="I119" s="20"/>
    </row>
    <row r="120" spans="5:9">
      <c r="E120" s="13"/>
      <c r="I120" s="20"/>
    </row>
    <row r="121" spans="5:9">
      <c r="E121" s="13"/>
      <c r="I121" s="20"/>
    </row>
    <row r="122" spans="5:9">
      <c r="E122" s="13"/>
      <c r="I122" s="20"/>
    </row>
    <row r="123" spans="5:9">
      <c r="E123" s="13"/>
      <c r="I123" s="20"/>
    </row>
    <row r="124" spans="5:9">
      <c r="E124" s="13"/>
      <c r="I124" s="20"/>
    </row>
    <row r="125" spans="5:9">
      <c r="E125" s="13"/>
      <c r="I125" s="20"/>
    </row>
    <row r="126" spans="5:9">
      <c r="E126" s="13"/>
      <c r="I126" s="20"/>
    </row>
    <row r="127" spans="5:9">
      <c r="E127" s="13"/>
      <c r="I127" s="20"/>
    </row>
    <row r="128" spans="5:9">
      <c r="E128" s="13"/>
      <c r="I128" s="20"/>
    </row>
    <row r="129" spans="5:9">
      <c r="E129" s="13"/>
      <c r="I129" s="20"/>
    </row>
    <row r="130" spans="5:9">
      <c r="E130" s="13"/>
      <c r="I130" s="20"/>
    </row>
    <row r="131" spans="5:9">
      <c r="E131" s="13"/>
      <c r="I131" s="20"/>
    </row>
    <row r="132" spans="5:9">
      <c r="E132" s="13"/>
      <c r="I132" s="20"/>
    </row>
    <row r="133" spans="5:9">
      <c r="E133" s="13"/>
      <c r="I133" s="20"/>
    </row>
    <row r="134" spans="5:9">
      <c r="E134" s="13"/>
      <c r="I134" s="20"/>
    </row>
    <row r="135" spans="5:9">
      <c r="E135" s="13"/>
      <c r="I135" s="20"/>
    </row>
    <row r="136" spans="5:9">
      <c r="E136" s="13"/>
      <c r="I136" s="20"/>
    </row>
    <row r="137" spans="5:9">
      <c r="E137" s="13"/>
      <c r="I137" s="20"/>
    </row>
    <row r="138" spans="5:9">
      <c r="E138" s="13"/>
      <c r="I138" s="20"/>
    </row>
    <row r="139" spans="5:9">
      <c r="E139" s="13"/>
      <c r="I139" s="20"/>
    </row>
    <row r="140" spans="5:9">
      <c r="E140" s="13"/>
      <c r="I140" s="20"/>
    </row>
    <row r="141" spans="5:9">
      <c r="E141" s="13"/>
      <c r="I141" s="20"/>
    </row>
    <row r="142" spans="5:9">
      <c r="E142" s="13"/>
      <c r="I142" s="20"/>
    </row>
    <row r="143" spans="5:9">
      <c r="E143" s="13"/>
      <c r="I143" s="20"/>
    </row>
    <row r="144" spans="5:9">
      <c r="E144" s="13"/>
      <c r="I144" s="20"/>
    </row>
    <row r="145" spans="5:9">
      <c r="E145" s="13"/>
      <c r="I145" s="20"/>
    </row>
    <row r="146" spans="5:9">
      <c r="E146" s="13"/>
      <c r="I146" s="20"/>
    </row>
    <row r="147" spans="5:9">
      <c r="E147" s="13"/>
      <c r="I147" s="20"/>
    </row>
    <row r="148" spans="5:9">
      <c r="E148" s="13"/>
      <c r="I148" s="20"/>
    </row>
    <row r="149" spans="5:9">
      <c r="E149" s="13"/>
      <c r="I149" s="20"/>
    </row>
    <row r="150" spans="5:9">
      <c r="E150" s="13"/>
      <c r="I150" s="20"/>
    </row>
    <row r="151" spans="5:9">
      <c r="E151" s="13"/>
      <c r="I151" s="20"/>
    </row>
    <row r="152" spans="5:9">
      <c r="E152" s="13"/>
      <c r="I152" s="20"/>
    </row>
    <row r="153" spans="5:9">
      <c r="E153" s="13"/>
      <c r="I153" s="20"/>
    </row>
    <row r="154" spans="5:9">
      <c r="E154" s="13"/>
      <c r="I154" s="20"/>
    </row>
    <row r="155" spans="5:9">
      <c r="E155" s="13"/>
      <c r="I155" s="20"/>
    </row>
    <row r="156" spans="5:9">
      <c r="E156" s="13"/>
      <c r="I156" s="20"/>
    </row>
    <row r="157" spans="5:9">
      <c r="E157" s="13"/>
      <c r="I157" s="20"/>
    </row>
    <row r="158" spans="5:9">
      <c r="E158" s="13"/>
      <c r="I158" s="20"/>
    </row>
    <row r="159" spans="5:9">
      <c r="E159" s="13"/>
      <c r="I159" s="20"/>
    </row>
    <row r="160" spans="5:9">
      <c r="E160" s="13"/>
      <c r="I160" s="20"/>
    </row>
    <row r="161" spans="5:9">
      <c r="E161" s="13"/>
      <c r="I161" s="20"/>
    </row>
    <row r="162" spans="5:9">
      <c r="E162" s="13"/>
      <c r="I162" s="20"/>
    </row>
    <row r="163" spans="5:9">
      <c r="E163" s="13"/>
      <c r="I163" s="20"/>
    </row>
    <row r="164" spans="5:9">
      <c r="E164" s="13"/>
      <c r="I164" s="20"/>
    </row>
    <row r="165" spans="5:9">
      <c r="E165" s="13"/>
      <c r="I165" s="20"/>
    </row>
    <row r="166" spans="5:9">
      <c r="E166" s="13"/>
      <c r="I166" s="20"/>
    </row>
    <row r="167" spans="5:9">
      <c r="E167" s="13"/>
      <c r="I167" s="20"/>
    </row>
    <row r="168" spans="5:9">
      <c r="E168" s="13"/>
      <c r="I168" s="20"/>
    </row>
    <row r="169" spans="5:9">
      <c r="E169" s="13"/>
      <c r="I169" s="20"/>
    </row>
    <row r="170" spans="5:9">
      <c r="E170" s="13"/>
      <c r="I170" s="20"/>
    </row>
    <row r="171" spans="5:9">
      <c r="E171" s="13"/>
      <c r="I171" s="20"/>
    </row>
    <row r="172" spans="5:9">
      <c r="E172" s="13"/>
      <c r="I172" s="20"/>
    </row>
    <row r="173" spans="5:9">
      <c r="E173" s="13"/>
      <c r="I173" s="20"/>
    </row>
    <row r="174" spans="5:9">
      <c r="E174" s="13"/>
      <c r="I174" s="20"/>
    </row>
    <row r="175" spans="5:9">
      <c r="E175" s="13"/>
      <c r="I175" s="20"/>
    </row>
    <row r="176" spans="5:9">
      <c r="E176" s="13"/>
      <c r="I176" s="20"/>
    </row>
    <row r="177" spans="5:9">
      <c r="E177" s="13"/>
      <c r="I177" s="20"/>
    </row>
    <row r="178" spans="5:9">
      <c r="E178" s="13"/>
      <c r="I178" s="20"/>
    </row>
    <row r="179" spans="5:9">
      <c r="E179" s="13"/>
      <c r="I179" s="20"/>
    </row>
    <row r="180" spans="5:9">
      <c r="E180" s="13"/>
      <c r="I180" s="20"/>
    </row>
    <row r="181" spans="5:9">
      <c r="E181" s="13"/>
      <c r="I181" s="20"/>
    </row>
    <row r="182" spans="5:9">
      <c r="E182" s="13"/>
      <c r="I182" s="20"/>
    </row>
    <row r="183" spans="5:9">
      <c r="E183" s="13"/>
      <c r="I183" s="20"/>
    </row>
    <row r="184" spans="5:9">
      <c r="E184" s="13"/>
      <c r="I184" s="20"/>
    </row>
    <row r="185" spans="5:9">
      <c r="E185" s="13"/>
      <c r="I185" s="20"/>
    </row>
    <row r="186" spans="5:9">
      <c r="E186" s="13"/>
      <c r="I186" s="20"/>
    </row>
    <row r="187" spans="5:9">
      <c r="E187" s="13"/>
      <c r="I187" s="20"/>
    </row>
    <row r="188" spans="5:9">
      <c r="E188" s="13"/>
      <c r="I188" s="20"/>
    </row>
    <row r="189" spans="5:9">
      <c r="E189" s="13"/>
      <c r="I189" s="20"/>
    </row>
    <row r="190" spans="5:9">
      <c r="E190" s="13"/>
      <c r="I190" s="20"/>
    </row>
    <row r="191" spans="5:9">
      <c r="E191" s="13"/>
      <c r="I191" s="20"/>
    </row>
    <row r="192" spans="5:9">
      <c r="E192" s="13"/>
      <c r="I192" s="20"/>
    </row>
    <row r="193" spans="5:9">
      <c r="E193" s="13"/>
      <c r="I193" s="20"/>
    </row>
    <row r="194" spans="5:9">
      <c r="E194" s="13"/>
      <c r="I194" s="20"/>
    </row>
    <row r="195" spans="5:9">
      <c r="E195" s="13"/>
      <c r="I195" s="20"/>
    </row>
    <row r="196" spans="5:9">
      <c r="E196" s="13"/>
      <c r="I196" s="20"/>
    </row>
    <row r="197" spans="5:9">
      <c r="E197" s="13"/>
      <c r="I197" s="20"/>
    </row>
    <row r="198" spans="5:9">
      <c r="E198" s="13"/>
      <c r="I198" s="20"/>
    </row>
    <row r="199" spans="5:9">
      <c r="E199" s="13"/>
      <c r="I199" s="20"/>
    </row>
    <row r="200" spans="5:9">
      <c r="E200" s="13"/>
      <c r="I200" s="20"/>
    </row>
    <row r="201" spans="5:9">
      <c r="E201" s="13"/>
      <c r="I201" s="20"/>
    </row>
    <row r="202" spans="5:9">
      <c r="E202" s="13"/>
      <c r="I202" s="20"/>
    </row>
    <row r="203" spans="5:9">
      <c r="E203" s="13"/>
      <c r="I203" s="20"/>
    </row>
    <row r="204" spans="5:9">
      <c r="E204" s="13"/>
      <c r="I204" s="20"/>
    </row>
    <row r="205" spans="5:9">
      <c r="E205" s="13"/>
      <c r="I205" s="20"/>
    </row>
    <row r="206" spans="5:9">
      <c r="E206" s="13"/>
      <c r="I206" s="20"/>
    </row>
    <row r="207" spans="5:9">
      <c r="E207" s="13"/>
      <c r="I207" s="20"/>
    </row>
    <row r="208" spans="5:9">
      <c r="E208" s="13"/>
      <c r="I208" s="20"/>
    </row>
    <row r="209" spans="5:9">
      <c r="E209" s="13"/>
      <c r="I209" s="20"/>
    </row>
    <row r="210" spans="5:9">
      <c r="E210" s="13"/>
      <c r="I210" s="20"/>
    </row>
    <row r="211" spans="5:9">
      <c r="E211" s="13"/>
      <c r="I211" s="20"/>
    </row>
    <row r="212" spans="5:9">
      <c r="E212" s="13"/>
      <c r="I212" s="20"/>
    </row>
    <row r="213" spans="5:9">
      <c r="E213" s="13"/>
      <c r="I213" s="20"/>
    </row>
    <row r="214" spans="5:9">
      <c r="E214" s="13"/>
      <c r="I214" s="20"/>
    </row>
    <row r="215" spans="5:9">
      <c r="E215" s="13"/>
      <c r="I215" s="20"/>
    </row>
    <row r="216" spans="5:9">
      <c r="E216" s="13"/>
      <c r="I216" s="20"/>
    </row>
    <row r="217" spans="5:9">
      <c r="E217" s="13"/>
      <c r="I217" s="20"/>
    </row>
    <row r="218" spans="5:9">
      <c r="E218" s="13"/>
      <c r="I218" s="20"/>
    </row>
    <row r="219" spans="5:9">
      <c r="E219" s="13"/>
      <c r="I219" s="20"/>
    </row>
    <row r="220" spans="5:9">
      <c r="E220" s="13"/>
      <c r="I220" s="20"/>
    </row>
    <row r="221" spans="5:9">
      <c r="E221" s="13"/>
      <c r="I221" s="20"/>
    </row>
    <row r="222" spans="5:9">
      <c r="E222" s="13"/>
      <c r="I222" s="20"/>
    </row>
    <row r="223" spans="5:9">
      <c r="E223" s="13"/>
      <c r="I223" s="20"/>
    </row>
    <row r="224" spans="5:9">
      <c r="E224" s="13"/>
      <c r="I224" s="20"/>
    </row>
    <row r="225" spans="5:9">
      <c r="E225" s="13"/>
      <c r="I225" s="20"/>
    </row>
    <row r="226" spans="5:9">
      <c r="E226" s="13"/>
      <c r="I226" s="20"/>
    </row>
    <row r="227" spans="5:9">
      <c r="E227" s="13"/>
      <c r="I227" s="20"/>
    </row>
    <row r="228" spans="5:9">
      <c r="E228" s="13"/>
      <c r="I228" s="20"/>
    </row>
    <row r="229" spans="5:9">
      <c r="E229" s="13"/>
      <c r="I229" s="20"/>
    </row>
    <row r="230" spans="5:9">
      <c r="E230" s="13"/>
      <c r="I230" s="20"/>
    </row>
    <row r="231" spans="5:9">
      <c r="E231" s="13"/>
      <c r="I231" s="20"/>
    </row>
    <row r="232" spans="5:9">
      <c r="E232" s="13"/>
      <c r="I232" s="20"/>
    </row>
    <row r="233" spans="5:9">
      <c r="E233" s="13"/>
      <c r="I233" s="20"/>
    </row>
    <row r="234" spans="5:9">
      <c r="E234" s="13"/>
      <c r="I234" s="20"/>
    </row>
    <row r="235" spans="5:9">
      <c r="E235" s="13"/>
      <c r="I235" s="20"/>
    </row>
    <row r="236" spans="5:9">
      <c r="E236" s="13"/>
      <c r="I236" s="20"/>
    </row>
    <row r="237" spans="5:9">
      <c r="E237" s="13"/>
      <c r="I237" s="20"/>
    </row>
    <row r="238" spans="5:9">
      <c r="E238" s="13"/>
      <c r="I238" s="20"/>
    </row>
    <row r="239" spans="5:9">
      <c r="E239" s="13"/>
      <c r="I239" s="20"/>
    </row>
    <row r="240" spans="5:9">
      <c r="E240" s="13"/>
      <c r="I240" s="20"/>
    </row>
    <row r="241" spans="5:9">
      <c r="E241" s="13"/>
      <c r="I241" s="20"/>
    </row>
    <row r="242" spans="5:9">
      <c r="E242" s="13"/>
      <c r="I242" s="20"/>
    </row>
    <row r="243" spans="5:9">
      <c r="E243" s="13"/>
      <c r="I243" s="20"/>
    </row>
    <row r="244" spans="5:9">
      <c r="E244" s="13"/>
      <c r="I244" s="20"/>
    </row>
    <row r="245" spans="5:9">
      <c r="E245" s="13"/>
      <c r="I245" s="20"/>
    </row>
    <row r="246" spans="5:9">
      <c r="E246" s="13"/>
      <c r="I246" s="20"/>
    </row>
    <row r="247" spans="5:9">
      <c r="E247" s="13"/>
      <c r="I247" s="20"/>
    </row>
    <row r="248" spans="5:9">
      <c r="E248" s="13"/>
      <c r="I248" s="20"/>
    </row>
    <row r="249" spans="5:9">
      <c r="E249" s="13"/>
      <c r="I249" s="20"/>
    </row>
    <row r="250" spans="5:9">
      <c r="E250" s="13"/>
      <c r="I250" s="20"/>
    </row>
    <row r="251" spans="5:9">
      <c r="E251" s="13"/>
      <c r="I251" s="20"/>
    </row>
    <row r="252" spans="5:9">
      <c r="E252" s="13"/>
      <c r="I252" s="20"/>
    </row>
    <row r="253" spans="5:9">
      <c r="E253" s="13"/>
      <c r="I253" s="20"/>
    </row>
    <row r="254" spans="5:9">
      <c r="E254" s="13"/>
      <c r="I254" s="20"/>
    </row>
    <row r="255" spans="5:9">
      <c r="E255" s="13"/>
      <c r="I255" s="20"/>
    </row>
    <row r="256" spans="5:9">
      <c r="E256" s="13"/>
      <c r="I256" s="20"/>
    </row>
    <row r="257" spans="5:9">
      <c r="E257" s="13"/>
      <c r="I257" s="20"/>
    </row>
    <row r="258" spans="5:9">
      <c r="E258" s="13"/>
      <c r="I258" s="20"/>
    </row>
    <row r="259" spans="5:9">
      <c r="E259" s="13"/>
      <c r="I259" s="20"/>
    </row>
    <row r="260" spans="5:9">
      <c r="E260" s="13"/>
      <c r="I260" s="20"/>
    </row>
    <row r="261" spans="5:9">
      <c r="E261" s="13"/>
      <c r="I261" s="20"/>
    </row>
    <row r="262" spans="5:9">
      <c r="E262" s="13"/>
      <c r="I262" s="20"/>
    </row>
    <row r="263" spans="5:9">
      <c r="E263" s="13"/>
      <c r="I263" s="20"/>
    </row>
    <row r="264" spans="5:9">
      <c r="E264" s="13"/>
      <c r="I264" s="20"/>
    </row>
    <row r="265" spans="5:9">
      <c r="E265" s="13"/>
      <c r="I265" s="20"/>
    </row>
    <row r="266" spans="5:9">
      <c r="E266" s="13"/>
      <c r="I266" s="20"/>
    </row>
    <row r="267" spans="5:9">
      <c r="E267" s="13"/>
      <c r="I267" s="20"/>
    </row>
    <row r="268" spans="5:9">
      <c r="E268" s="13"/>
      <c r="I268" s="20"/>
    </row>
    <row r="269" spans="5:9">
      <c r="E269" s="13"/>
      <c r="I269" s="20"/>
    </row>
    <row r="270" spans="5:9">
      <c r="E270" s="13"/>
      <c r="I270" s="20"/>
    </row>
    <row r="271" spans="5:9">
      <c r="E271" s="13"/>
      <c r="I271" s="20"/>
    </row>
    <row r="272" spans="5:9">
      <c r="E272" s="13"/>
      <c r="I272" s="20"/>
    </row>
    <row r="273" spans="5:9">
      <c r="E273" s="13"/>
      <c r="I273" s="20"/>
    </row>
    <row r="274" spans="5:9">
      <c r="E274" s="13"/>
      <c r="I274" s="20"/>
    </row>
    <row r="275" spans="5:9">
      <c r="E275" s="13"/>
      <c r="I275" s="20"/>
    </row>
    <row r="276" spans="5:9">
      <c r="E276" s="13"/>
      <c r="I276" s="20"/>
    </row>
    <row r="277" spans="5:9">
      <c r="E277" s="13"/>
      <c r="I277" s="20"/>
    </row>
    <row r="278" spans="5:9">
      <c r="E278" s="13"/>
      <c r="I278" s="20"/>
    </row>
    <row r="279" spans="5:9">
      <c r="E279" s="13"/>
      <c r="I279" s="20"/>
    </row>
    <row r="280" spans="5:9">
      <c r="E280" s="13"/>
      <c r="I280" s="20"/>
    </row>
    <row r="281" spans="5:9">
      <c r="E281" s="13"/>
      <c r="I281" s="20"/>
    </row>
    <row r="282" spans="5:9">
      <c r="E282" s="13"/>
      <c r="I282" s="20"/>
    </row>
    <row r="283" spans="5:9">
      <c r="E283" s="13"/>
      <c r="I283" s="20"/>
    </row>
    <row r="284" spans="5:9">
      <c r="E284" s="13"/>
      <c r="I284" s="20"/>
    </row>
    <row r="285" spans="5:9">
      <c r="E285" s="13"/>
      <c r="I285" s="20"/>
    </row>
    <row r="286" spans="5:9">
      <c r="E286" s="13"/>
      <c r="I286" s="20"/>
    </row>
    <row r="287" spans="5:9">
      <c r="E287" s="13"/>
      <c r="I287" s="20"/>
    </row>
    <row r="288" spans="5:9">
      <c r="E288" s="13"/>
      <c r="I288" s="20"/>
    </row>
    <row r="289" spans="5:9">
      <c r="E289" s="13"/>
      <c r="I289" s="20"/>
    </row>
    <row r="290" spans="5:9">
      <c r="E290" s="13"/>
      <c r="I290" s="20"/>
    </row>
    <row r="291" spans="5:9">
      <c r="E291" s="13"/>
      <c r="I291" s="20"/>
    </row>
    <row r="292" spans="5:9">
      <c r="E292" s="13"/>
      <c r="I292" s="20"/>
    </row>
    <row r="293" spans="5:9">
      <c r="E293" s="13"/>
      <c r="I293" s="20"/>
    </row>
    <row r="294" spans="5:9">
      <c r="E294" s="13"/>
      <c r="I294" s="20"/>
    </row>
    <row r="295" spans="5:9">
      <c r="E295" s="13"/>
      <c r="I295" s="20"/>
    </row>
    <row r="296" spans="5:9">
      <c r="E296" s="13"/>
      <c r="I296" s="20"/>
    </row>
    <row r="297" spans="5:9">
      <c r="E297" s="13"/>
      <c r="I297" s="20"/>
    </row>
    <row r="298" spans="5:9">
      <c r="E298" s="13"/>
      <c r="I298" s="20"/>
    </row>
    <row r="299" spans="5:9">
      <c r="E299" s="13"/>
      <c r="I299" s="20"/>
    </row>
    <row r="300" spans="5:9">
      <c r="E300" s="13"/>
      <c r="I300" s="20"/>
    </row>
    <row r="301" spans="5:9">
      <c r="E301" s="13"/>
      <c r="I301" s="20"/>
    </row>
    <row r="302" spans="5:9">
      <c r="E302" s="13"/>
      <c r="I302" s="20"/>
    </row>
    <row r="303" spans="5:9">
      <c r="E303" s="13"/>
      <c r="I303" s="20"/>
    </row>
    <row r="304" spans="5:9">
      <c r="E304" s="13"/>
      <c r="I304" s="20"/>
    </row>
    <row r="305" spans="5:9">
      <c r="E305" s="13"/>
      <c r="I305" s="20"/>
    </row>
    <row r="306" spans="5:9">
      <c r="E306" s="13"/>
      <c r="I306" s="20"/>
    </row>
    <row r="307" spans="5:9">
      <c r="E307" s="13"/>
      <c r="I307" s="20"/>
    </row>
    <row r="308" spans="5:9">
      <c r="E308" s="13"/>
      <c r="I308" s="20"/>
    </row>
    <row r="309" spans="5:9">
      <c r="E309" s="13"/>
      <c r="I309" s="20"/>
    </row>
    <row r="310" spans="5:9">
      <c r="E310" s="13"/>
      <c r="I310" s="20"/>
    </row>
    <row r="311" spans="5:9">
      <c r="E311" s="13"/>
      <c r="I311" s="20"/>
    </row>
    <row r="312" spans="5:9">
      <c r="E312" s="13"/>
      <c r="I312" s="20"/>
    </row>
    <row r="313" spans="5:9">
      <c r="E313" s="13"/>
      <c r="I313" s="20"/>
    </row>
    <row r="314" spans="5:9">
      <c r="E314" s="13"/>
      <c r="I314" s="20"/>
    </row>
    <row r="315" spans="5:9">
      <c r="E315" s="13"/>
      <c r="I315" s="20"/>
    </row>
    <row r="316" spans="5:9">
      <c r="E316" s="13"/>
      <c r="I316" s="20"/>
    </row>
    <row r="317" spans="5:9">
      <c r="E317" s="13"/>
      <c r="I317" s="20"/>
    </row>
    <row r="318" spans="5:9">
      <c r="E318" s="13"/>
      <c r="I318" s="20"/>
    </row>
    <row r="319" spans="5:9">
      <c r="E319" s="13"/>
      <c r="I319" s="20"/>
    </row>
    <row r="320" spans="5:9">
      <c r="E320" s="13"/>
      <c r="I320" s="20"/>
    </row>
    <row r="321" spans="5:9">
      <c r="E321" s="13"/>
      <c r="I321" s="20"/>
    </row>
    <row r="322" spans="5:9">
      <c r="E322" s="13"/>
      <c r="I322" s="20"/>
    </row>
    <row r="323" spans="5:9">
      <c r="E323" s="13"/>
      <c r="I323" s="20"/>
    </row>
  </sheetData>
  <mergeCells count="1">
    <mergeCell ref="A1:I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9E93-5E46-4B97-812C-1D31C0B0609A}">
  <dimension ref="A1:H22"/>
  <sheetViews>
    <sheetView workbookViewId="0">
      <selection activeCell="L16" sqref="L16"/>
    </sheetView>
  </sheetViews>
  <sheetFormatPr baseColWidth="10" defaultRowHeight="15"/>
  <cols>
    <col min="1" max="1" width="14.85546875" bestFit="1" customWidth="1"/>
    <col min="2" max="2" width="16.5703125" bestFit="1" customWidth="1"/>
    <col min="3" max="3" width="22.140625" bestFit="1" customWidth="1"/>
    <col min="4" max="4" width="6.5703125" bestFit="1" customWidth="1"/>
    <col min="5" max="5" width="21.85546875" bestFit="1" customWidth="1"/>
    <col min="6" max="6" width="20.28515625" bestFit="1" customWidth="1"/>
    <col min="7" max="7" width="21.42578125" bestFit="1" customWidth="1"/>
    <col min="8" max="8" width="16.42578125" bestFit="1" customWidth="1"/>
  </cols>
  <sheetData>
    <row r="1" spans="1:8">
      <c r="A1" s="21" t="s">
        <v>130</v>
      </c>
      <c r="B1" s="21"/>
      <c r="C1" s="21"/>
      <c r="D1" s="21"/>
      <c r="E1" s="21"/>
      <c r="F1" s="21"/>
      <c r="G1" s="21"/>
      <c r="H1" s="21"/>
    </row>
    <row r="2" spans="1:8">
      <c r="A2" t="s">
        <v>116</v>
      </c>
      <c r="B2" t="s">
        <v>117</v>
      </c>
      <c r="C2" t="s">
        <v>118</v>
      </c>
      <c r="D2" t="s">
        <v>104</v>
      </c>
      <c r="E2" t="s">
        <v>119</v>
      </c>
      <c r="F2" t="s">
        <v>120</v>
      </c>
      <c r="G2" t="s">
        <v>121</v>
      </c>
      <c r="H2" t="s">
        <v>122</v>
      </c>
    </row>
    <row r="3" spans="1:8">
      <c r="H3" s="15"/>
    </row>
    <row r="4" spans="1:8">
      <c r="H4" s="15"/>
    </row>
    <row r="5" spans="1:8">
      <c r="H5" s="15"/>
    </row>
    <row r="6" spans="1:8">
      <c r="H6" s="15"/>
    </row>
    <row r="7" spans="1:8">
      <c r="H7" s="15"/>
    </row>
    <row r="8" spans="1:8">
      <c r="H8" s="15"/>
    </row>
    <row r="9" spans="1:8">
      <c r="H9" s="15"/>
    </row>
    <row r="10" spans="1:8">
      <c r="H10" s="15"/>
    </row>
    <row r="11" spans="1:8">
      <c r="H11" s="15"/>
    </row>
    <row r="12" spans="1:8">
      <c r="H12" s="15"/>
    </row>
    <row r="13" spans="1:8">
      <c r="H13" s="15"/>
    </row>
    <row r="14" spans="1:8">
      <c r="H14" s="15"/>
    </row>
    <row r="15" spans="1:8">
      <c r="H15" s="15"/>
    </row>
    <row r="16" spans="1:8">
      <c r="H16" s="15"/>
    </row>
    <row r="17" spans="8:8">
      <c r="H17" s="15"/>
    </row>
    <row r="18" spans="8:8">
      <c r="H18" s="15"/>
    </row>
    <row r="19" spans="8:8">
      <c r="H19" s="15"/>
    </row>
    <row r="20" spans="8:8">
      <c r="H20" s="15"/>
    </row>
    <row r="21" spans="8:8">
      <c r="H21" s="15"/>
    </row>
    <row r="22" spans="8:8">
      <c r="H22" s="15"/>
    </row>
  </sheetData>
  <mergeCells count="1">
    <mergeCell ref="A1:H1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Contenido</vt:lpstr>
      <vt:lpstr>INDICADOR PORCENTAJE</vt:lpstr>
      <vt:lpstr>INDICADOR DISTRIBUCION</vt:lpstr>
      <vt:lpstr>INDICADOR PROMEDIO</vt:lpstr>
      <vt:lpstr>Concentrado_Contrataciones</vt:lpstr>
      <vt:lpstr>Contratos SAI_ADQ</vt:lpstr>
      <vt:lpstr>Contratos SAI_OBRA</vt:lpstr>
      <vt:lpstr>Contratos Ambiental_ADQ</vt:lpstr>
      <vt:lpstr>Contratos Fonden_OBRA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Humberto Rene Farias Rojas</cp:lastModifiedBy>
  <cp:lastPrinted>2021-01-18T21:55:04Z</cp:lastPrinted>
  <dcterms:created xsi:type="dcterms:W3CDTF">2018-05-16T16:25:39Z</dcterms:created>
  <dcterms:modified xsi:type="dcterms:W3CDTF">2021-07-20T00:48:08Z</dcterms:modified>
</cp:coreProperties>
</file>